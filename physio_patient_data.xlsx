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Job Hunt\Data Science\Projects\"/>
    </mc:Choice>
  </mc:AlternateContent>
  <bookViews>
    <workbookView xWindow="0" yWindow="0" windowWidth="8196" windowHeight="4056"/>
  </bookViews>
  <sheets>
    <sheet name="physio_patient_data" sheetId="1" r:id="rId1"/>
    <sheet name="Pivot Tables" sheetId="2" r:id="rId2"/>
    <sheet name="Viz" sheetId="3" r:id="rId3"/>
  </sheets>
  <definedNames>
    <definedName name="_xlnm._FilterDatabase" localSheetId="0" hidden="1">physio_patient_data!$J$1:$J$301</definedName>
  </definedNames>
  <calcPr calcId="0"/>
  <pivotCaches>
    <pivotCache cacheId="9" r:id="rId4"/>
  </pivotCaches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2" i="1"/>
</calcChain>
</file>

<file path=xl/sharedStrings.xml><?xml version="1.0" encoding="utf-8"?>
<sst xmlns="http://schemas.openxmlformats.org/spreadsheetml/2006/main" count="1235" uniqueCount="29">
  <si>
    <t>Patient_ID</t>
  </si>
  <si>
    <t>Age</t>
  </si>
  <si>
    <t>Gender</t>
  </si>
  <si>
    <t>Condition</t>
  </si>
  <si>
    <t>Treatment_Type</t>
  </si>
  <si>
    <t>Sessions_Attended</t>
  </si>
  <si>
    <t>Compliance_Level</t>
  </si>
  <si>
    <t>Pain_Score_Initial</t>
  </si>
  <si>
    <t>Pain_Score_Final</t>
  </si>
  <si>
    <t>Recovery_Time_Days</t>
  </si>
  <si>
    <t>Female</t>
  </si>
  <si>
    <t>ACL Tear</t>
  </si>
  <si>
    <t>Manual Therapy</t>
  </si>
  <si>
    <t>Low</t>
  </si>
  <si>
    <t>Low Back Pain</t>
  </si>
  <si>
    <t>Electrotherapy</t>
  </si>
  <si>
    <t>Male</t>
  </si>
  <si>
    <t>Knee Injury</t>
  </si>
  <si>
    <t>Exercise Therapy</t>
  </si>
  <si>
    <t>Medium</t>
  </si>
  <si>
    <t>Combined</t>
  </si>
  <si>
    <t>Stroke Rehab</t>
  </si>
  <si>
    <t>High</t>
  </si>
  <si>
    <t>Recovery_improvement</t>
  </si>
  <si>
    <t>Engagement Category</t>
  </si>
  <si>
    <t>Average of Recovery_Time_Days</t>
  </si>
  <si>
    <t>Compliance Level</t>
  </si>
  <si>
    <t>Average of Recovery_improvement</t>
  </si>
  <si>
    <t>Treatment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</si>
</sst>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[physio_patient_data.xlsx]Pivot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Recovery Time by Level of Patient Compliance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Tables'!$B$4:$B$6</c:f>
              <c:numCache>
                <c:formatCode>0.00</c:formatCode>
                <c:ptCount val="3"/>
                <c:pt idx="0">
                  <c:v>64.505050505050505</c:v>
                </c:pt>
                <c:pt idx="1">
                  <c:v>62.145631067961162</c:v>
                </c:pt>
                <c:pt idx="2">
                  <c:v>64.755102040816325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64340360"/>
        <c:axId val="564338792"/>
      </c:barChart>
      <c:catAx>
        <c:axId val="564340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Compliace Level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338792"/>
        <c:crosses val="autoZero"/>
        <c:auto val="1"/>
        <c:lblAlgn val="ctr"/>
        <c:lblOffset val="100"/>
        <c:noMultiLvlLbl val="0"/>
      </c:catAx>
      <c:valAx>
        <c:axId val="564338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Recovery 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340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[physio_patient_data.xlsx]Pivot 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Recovery Time by Condition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Tables'!$A$12:$A$15</c:f>
              <c:strCache>
                <c:ptCount val="4"/>
                <c:pt idx="0">
                  <c:v>ACL Tear</c:v>
                </c:pt>
                <c:pt idx="1">
                  <c:v>Knee Injury</c:v>
                </c:pt>
                <c:pt idx="2">
                  <c:v>Low Back Pain</c:v>
                </c:pt>
                <c:pt idx="3">
                  <c:v>Stroke Rehab</c:v>
                </c:pt>
              </c:strCache>
            </c:strRef>
          </c:cat>
          <c:val>
            <c:numRef>
              <c:f>'Pivot Tables'!$B$12:$B$15</c:f>
              <c:numCache>
                <c:formatCode>0.00</c:formatCode>
                <c:ptCount val="4"/>
                <c:pt idx="0">
                  <c:v>65.780821917808225</c:v>
                </c:pt>
                <c:pt idx="1">
                  <c:v>64.436619718309856</c:v>
                </c:pt>
                <c:pt idx="2">
                  <c:v>59.674157303370784</c:v>
                </c:pt>
                <c:pt idx="3">
                  <c:v>66.343283582089555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59466384"/>
        <c:axId val="559469128"/>
      </c:barChart>
      <c:catAx>
        <c:axId val="559466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469128"/>
        <c:crosses val="autoZero"/>
        <c:auto val="1"/>
        <c:lblAlgn val="ctr"/>
        <c:lblOffset val="100"/>
        <c:noMultiLvlLbl val="0"/>
      </c:catAx>
      <c:valAx>
        <c:axId val="559469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Recovery 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46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[physio_patient_data.xlsx]Pivot 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Recovery Improvement and Time by Treatment Recieved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0150912894418385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Tables'!$B$28</c:f>
              <c:strCache>
                <c:ptCount val="1"/>
                <c:pt idx="0">
                  <c:v>Average of Recovery_Time_Days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Tables'!$A$29:$A$32</c:f>
              <c:strCache>
                <c:ptCount val="4"/>
                <c:pt idx="0">
                  <c:v>Combined</c:v>
                </c:pt>
                <c:pt idx="1">
                  <c:v>Electrotherapy</c:v>
                </c:pt>
                <c:pt idx="2">
                  <c:v>Exercise Therapy</c:v>
                </c:pt>
                <c:pt idx="3">
                  <c:v>Manual Therapy</c:v>
                </c:pt>
              </c:strCache>
            </c:strRef>
          </c:cat>
          <c:val>
            <c:numRef>
              <c:f>'Pivot Tables'!$B$29:$B$32</c:f>
              <c:numCache>
                <c:formatCode>0.00</c:formatCode>
                <c:ptCount val="4"/>
                <c:pt idx="0">
                  <c:v>71.044117647058826</c:v>
                </c:pt>
                <c:pt idx="1">
                  <c:v>63.058823529411768</c:v>
                </c:pt>
                <c:pt idx="2">
                  <c:v>59.325842696629216</c:v>
                </c:pt>
                <c:pt idx="3">
                  <c:v>63.12</c:v>
                </c:pt>
              </c:numCache>
            </c:numRef>
          </c:val>
        </c:ser>
        <c:ser>
          <c:idx val="1"/>
          <c:order val="1"/>
          <c:tx>
            <c:strRef>
              <c:f>'Pivot Tables'!$C$28</c:f>
              <c:strCache>
                <c:ptCount val="1"/>
                <c:pt idx="0">
                  <c:v>Average of Recovery_improvement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Tables'!$A$29:$A$32</c:f>
              <c:strCache>
                <c:ptCount val="4"/>
                <c:pt idx="0">
                  <c:v>Combined</c:v>
                </c:pt>
                <c:pt idx="1">
                  <c:v>Electrotherapy</c:v>
                </c:pt>
                <c:pt idx="2">
                  <c:v>Exercise Therapy</c:v>
                </c:pt>
                <c:pt idx="3">
                  <c:v>Manual Therapy</c:v>
                </c:pt>
              </c:strCache>
            </c:strRef>
          </c:cat>
          <c:val>
            <c:numRef>
              <c:f>'Pivot Tables'!$C$29:$C$32</c:f>
              <c:numCache>
                <c:formatCode>0.00</c:formatCode>
                <c:ptCount val="4"/>
                <c:pt idx="0">
                  <c:v>4.8235294117647056</c:v>
                </c:pt>
                <c:pt idx="1">
                  <c:v>4.6029411764705879</c:v>
                </c:pt>
                <c:pt idx="2">
                  <c:v>4.5393258426966296</c:v>
                </c:pt>
                <c:pt idx="3">
                  <c:v>3.9066666666666667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82218864"/>
        <c:axId val="482218080"/>
      </c:barChart>
      <c:catAx>
        <c:axId val="482218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Treatment Received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218080"/>
        <c:crosses val="autoZero"/>
        <c:auto val="1"/>
        <c:lblAlgn val="ctr"/>
        <c:lblOffset val="100"/>
        <c:noMultiLvlLbl val="0"/>
      </c:catAx>
      <c:valAx>
        <c:axId val="48221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21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1</xdr:row>
      <xdr:rowOff>38100</xdr:rowOff>
    </xdr:from>
    <xdr:to>
      <xdr:col>8</xdr:col>
      <xdr:colOff>60960</xdr:colOff>
      <xdr:row>16</xdr:row>
      <xdr:rowOff>72390</xdr:rowOff>
    </xdr:to>
    <xdr:graphicFrame macro="">
      <xdr:nvGraphicFramePr>
        <xdr:cNvPr id="2" name="Recovery by Compliance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297180</xdr:colOff>
      <xdr:row>1</xdr:row>
      <xdr:rowOff>45720</xdr:rowOff>
    </xdr:from>
    <xdr:to>
      <xdr:col>18</xdr:col>
      <xdr:colOff>304800</xdr:colOff>
      <xdr:row>16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83820</xdr:colOff>
      <xdr:row>27</xdr:row>
      <xdr:rowOff>129540</xdr:rowOff>
    </xdr:from>
    <xdr:to>
      <xdr:col>16</xdr:col>
      <xdr:colOff>259080</xdr:colOff>
      <xdr:row>45</xdr:row>
      <xdr:rowOff>129540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160020</xdr:colOff>
      <xdr:row>16</xdr:row>
      <xdr:rowOff>167640</xdr:rowOff>
    </xdr:from>
    <xdr:to>
      <xdr:col>8</xdr:col>
      <xdr:colOff>30480</xdr:colOff>
      <xdr:row>20</xdr:row>
      <xdr:rowOff>137160</xdr:rowOff>
    </xdr:to>
    <xdr:sp macro="" textlink="">
      <xdr:nvSpPr>
        <xdr:cNvPr id="5" name="TextBox 4"/>
        <xdr:cNvSpPr txBox="1"/>
      </xdr:nvSpPr>
      <xdr:spPr>
        <a:xfrm>
          <a:off x="160020" y="3093720"/>
          <a:ext cx="4747260" cy="701040"/>
        </a:xfrm>
        <a:prstGeom prst="rect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just"/>
          <a:r>
            <a:rPr lang="en-US" sz="1100"/>
            <a:t>Patients with low compliance levels recovered significantly faster, which is unlike the conventionally understood pattern of high compliance resulting into faster recovery.</a:t>
          </a:r>
        </a:p>
      </xdr:txBody>
    </xdr:sp>
    <xdr:clientData/>
  </xdr:twoCellAnchor>
  <xdr:twoCellAnchor>
    <xdr:from>
      <xdr:col>10</xdr:col>
      <xdr:colOff>533400</xdr:colOff>
      <xdr:row>16</xdr:row>
      <xdr:rowOff>144780</xdr:rowOff>
    </xdr:from>
    <xdr:to>
      <xdr:col>17</xdr:col>
      <xdr:colOff>579120</xdr:colOff>
      <xdr:row>20</xdr:row>
      <xdr:rowOff>167640</xdr:rowOff>
    </xdr:to>
    <xdr:sp macro="" textlink="">
      <xdr:nvSpPr>
        <xdr:cNvPr id="6" name="TextBox 5"/>
        <xdr:cNvSpPr txBox="1"/>
      </xdr:nvSpPr>
      <xdr:spPr>
        <a:xfrm>
          <a:off x="6629400" y="3070860"/>
          <a:ext cx="4312920" cy="754380"/>
        </a:xfrm>
        <a:prstGeom prst="rect">
          <a:avLst/>
        </a:prstGeom>
        <a:ln/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Stroke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recovery is the longest, while low back pain has the shortest recovery time which is unexpected due to the pathology of the conditions and the expected recovery pattern of each.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419100</xdr:colOff>
      <xdr:row>46</xdr:row>
      <xdr:rowOff>99060</xdr:rowOff>
    </xdr:from>
    <xdr:to>
      <xdr:col>11</xdr:col>
      <xdr:colOff>388620</xdr:colOff>
      <xdr:row>50</xdr:row>
      <xdr:rowOff>53340</xdr:rowOff>
    </xdr:to>
    <xdr:sp macro="" textlink="">
      <xdr:nvSpPr>
        <xdr:cNvPr id="7" name="TextBox 6"/>
        <xdr:cNvSpPr txBox="1"/>
      </xdr:nvSpPr>
      <xdr:spPr>
        <a:xfrm>
          <a:off x="1638300" y="8511540"/>
          <a:ext cx="5455920" cy="685800"/>
        </a:xfrm>
        <a:prstGeom prst="rect">
          <a:avLst/>
        </a:prstGeom>
        <a:ln/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/>
            <a:t>Combining treatments</a:t>
          </a:r>
          <a:r>
            <a:rPr lang="en-US" sz="1100" baseline="0"/>
            <a:t> does not appear to be the best course of action. Exercise therapy gives a faster recovery time but manual therapy gives the better improvment level, about 7.5% than exercise therapy. 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09.715543287035" createdVersion="5" refreshedVersion="5" minRefreshableVersion="3" recordCount="300">
  <cacheSource type="worksheet">
    <worksheetSource ref="A1:L301" sheet="physio_patient_data"/>
  </cacheSource>
  <cacheFields count="12">
    <cacheField name="Patient_ID" numFmtId="0">
      <sharedItems containsSemiMixedTypes="0" containsString="0" containsNumber="1" containsInteger="1" minValue="1" maxValue="300"/>
    </cacheField>
    <cacheField name="Age" numFmtId="0">
      <sharedItems containsSemiMixedTypes="0" containsString="0" containsNumber="1" containsInteger="1" minValue="18" maxValue="79"/>
    </cacheField>
    <cacheField name="Gender" numFmtId="0">
      <sharedItems/>
    </cacheField>
    <cacheField name="Condition" numFmtId="0">
      <sharedItems count="4">
        <s v="ACL Tear"/>
        <s v="Low Back Pain"/>
        <s v="Knee Injury"/>
        <s v="Stroke Rehab"/>
      </sharedItems>
    </cacheField>
    <cacheField name="Treatment_Type" numFmtId="0">
      <sharedItems count="4">
        <s v="Manual Therapy"/>
        <s v="Electrotherapy"/>
        <s v="Exercise Therapy"/>
        <s v="Combined"/>
      </sharedItems>
    </cacheField>
    <cacheField name="Sessions_Attended" numFmtId="0">
      <sharedItems containsSemiMixedTypes="0" containsString="0" containsNumber="1" containsInteger="1" minValue="3" maxValue="24"/>
    </cacheField>
    <cacheField name="Compliance_Level" numFmtId="0">
      <sharedItems count="3">
        <s v="Low"/>
        <s v="Medium"/>
        <s v="High"/>
      </sharedItems>
    </cacheField>
    <cacheField name="Pain_Score_Initial" numFmtId="0">
      <sharedItems containsSemiMixedTypes="0" containsString="0" containsNumber="1" containsInteger="1" minValue="5" maxValue="9"/>
    </cacheField>
    <cacheField name="Pain_Score_Final" numFmtId="0">
      <sharedItems containsSemiMixedTypes="0" containsString="0" containsNumber="1" containsInteger="1" minValue="0" maxValue="5"/>
    </cacheField>
    <cacheField name="Recovery_Time_Days" numFmtId="0">
      <sharedItems containsSemiMixedTypes="0" containsString="0" containsNumber="1" containsInteger="1" minValue="10" maxValue="119" count="104">
        <n v="89"/>
        <n v="59"/>
        <n v="115"/>
        <n v="17"/>
        <n v="94"/>
        <n v="10"/>
        <n v="38"/>
        <n v="105"/>
        <n v="111"/>
        <n v="14"/>
        <n v="95"/>
        <n v="56"/>
        <n v="43"/>
        <n v="74"/>
        <n v="64"/>
        <n v="99"/>
        <n v="52"/>
        <n v="83"/>
        <n v="39"/>
        <n v="91"/>
        <n v="26"/>
        <n v="35"/>
        <n v="113"/>
        <n v="85"/>
        <n v="100"/>
        <n v="81"/>
        <n v="98"/>
        <n v="55"/>
        <n v="77"/>
        <n v="42"/>
        <n v="28"/>
        <n v="40"/>
        <n v="23"/>
        <n v="62"/>
        <n v="57"/>
        <n v="78"/>
        <n v="114"/>
        <n v="71"/>
        <n v="101"/>
        <n v="75"/>
        <n v="73"/>
        <n v="79"/>
        <n v="72"/>
        <n v="82"/>
        <n v="50"/>
        <n v="22"/>
        <n v="86"/>
        <n v="84"/>
        <n v="107"/>
        <n v="119"/>
        <n v="13"/>
        <n v="32"/>
        <n v="92"/>
        <n v="118"/>
        <n v="97"/>
        <n v="63"/>
        <n v="80"/>
        <n v="24"/>
        <n v="30"/>
        <n v="69"/>
        <n v="102"/>
        <n v="58"/>
        <n v="44"/>
        <n v="53"/>
        <n v="20"/>
        <n v="108"/>
        <n v="87"/>
        <n v="18"/>
        <n v="12"/>
        <n v="37"/>
        <n v="34"/>
        <n v="21"/>
        <n v="46"/>
        <n v="88"/>
        <n v="109"/>
        <n v="96"/>
        <n v="117"/>
        <n v="116"/>
        <n v="45"/>
        <n v="60"/>
        <n v="61"/>
        <n v="36"/>
        <n v="25"/>
        <n v="27"/>
        <n v="11"/>
        <n v="103"/>
        <n v="16"/>
        <n v="104"/>
        <n v="48"/>
        <n v="65"/>
        <n v="51"/>
        <n v="70"/>
        <n v="93"/>
        <n v="54"/>
        <n v="31"/>
        <n v="19"/>
        <n v="33"/>
        <n v="106"/>
        <n v="90"/>
        <n v="41"/>
        <n v="66"/>
        <n v="76"/>
        <n v="112"/>
        <n v="110"/>
      </sharedItems>
    </cacheField>
    <cacheField name="Recovery_improvement" numFmtId="0">
      <sharedItems containsSemiMixedTypes="0" containsString="0" containsNumber="1" containsInteger="1" minValue="0" maxValue="9"/>
    </cacheField>
    <cacheField name="Engagement Category" numFmtId="0">
      <sharedItems count="3">
        <s v="Low"/>
        <s v="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n v="1"/>
    <n v="56"/>
    <s v="Female"/>
    <x v="0"/>
    <x v="0"/>
    <n v="7"/>
    <x v="0"/>
    <n v="7"/>
    <n v="4"/>
    <x v="0"/>
    <n v="3"/>
    <x v="0"/>
  </r>
  <r>
    <n v="2"/>
    <n v="69"/>
    <s v="Female"/>
    <x v="1"/>
    <x v="1"/>
    <n v="11"/>
    <x v="0"/>
    <n v="6"/>
    <n v="2"/>
    <x v="1"/>
    <n v="4"/>
    <x v="1"/>
  </r>
  <r>
    <n v="3"/>
    <n v="46"/>
    <s v="Male"/>
    <x v="2"/>
    <x v="2"/>
    <n v="14"/>
    <x v="1"/>
    <n v="5"/>
    <n v="5"/>
    <x v="2"/>
    <n v="0"/>
    <x v="1"/>
  </r>
  <r>
    <n v="4"/>
    <n v="32"/>
    <s v="Female"/>
    <x v="0"/>
    <x v="2"/>
    <n v="16"/>
    <x v="0"/>
    <n v="9"/>
    <n v="1"/>
    <x v="3"/>
    <n v="8"/>
    <x v="1"/>
  </r>
  <r>
    <n v="5"/>
    <n v="60"/>
    <s v="Male"/>
    <x v="2"/>
    <x v="0"/>
    <n v="4"/>
    <x v="0"/>
    <n v="6"/>
    <n v="3"/>
    <x v="4"/>
    <n v="3"/>
    <x v="0"/>
  </r>
  <r>
    <n v="6"/>
    <n v="25"/>
    <s v="Male"/>
    <x v="2"/>
    <x v="3"/>
    <n v="19"/>
    <x v="1"/>
    <n v="6"/>
    <n v="2"/>
    <x v="5"/>
    <n v="4"/>
    <x v="2"/>
  </r>
  <r>
    <n v="7"/>
    <n v="78"/>
    <s v="Female"/>
    <x v="3"/>
    <x v="0"/>
    <n v="16"/>
    <x v="0"/>
    <n v="5"/>
    <n v="4"/>
    <x v="3"/>
    <n v="1"/>
    <x v="1"/>
  </r>
  <r>
    <n v="8"/>
    <n v="38"/>
    <s v="Male"/>
    <x v="1"/>
    <x v="0"/>
    <n v="15"/>
    <x v="2"/>
    <n v="6"/>
    <n v="3"/>
    <x v="6"/>
    <n v="3"/>
    <x v="1"/>
  </r>
  <r>
    <n v="9"/>
    <n v="56"/>
    <s v="Male"/>
    <x v="0"/>
    <x v="3"/>
    <n v="11"/>
    <x v="2"/>
    <n v="9"/>
    <n v="4"/>
    <x v="7"/>
    <n v="5"/>
    <x v="1"/>
  </r>
  <r>
    <n v="10"/>
    <n v="75"/>
    <s v="Male"/>
    <x v="3"/>
    <x v="3"/>
    <n v="17"/>
    <x v="0"/>
    <n v="6"/>
    <n v="3"/>
    <x v="8"/>
    <n v="3"/>
    <x v="2"/>
  </r>
  <r>
    <n v="11"/>
    <n v="36"/>
    <s v="Female"/>
    <x v="3"/>
    <x v="3"/>
    <n v="24"/>
    <x v="1"/>
    <n v="9"/>
    <n v="1"/>
    <x v="9"/>
    <n v="8"/>
    <x v="2"/>
  </r>
  <r>
    <n v="12"/>
    <n v="40"/>
    <s v="Female"/>
    <x v="0"/>
    <x v="2"/>
    <n v="17"/>
    <x v="2"/>
    <n v="5"/>
    <n v="2"/>
    <x v="10"/>
    <n v="3"/>
    <x v="2"/>
  </r>
  <r>
    <n v="13"/>
    <n v="28"/>
    <s v="Male"/>
    <x v="2"/>
    <x v="1"/>
    <n v="13"/>
    <x v="1"/>
    <n v="7"/>
    <n v="3"/>
    <x v="11"/>
    <n v="4"/>
    <x v="1"/>
  </r>
  <r>
    <n v="14"/>
    <n v="28"/>
    <s v="Female"/>
    <x v="3"/>
    <x v="2"/>
    <n v="18"/>
    <x v="1"/>
    <n v="6"/>
    <n v="5"/>
    <x v="12"/>
    <n v="1"/>
    <x v="2"/>
  </r>
  <r>
    <n v="15"/>
    <n v="41"/>
    <s v="Female"/>
    <x v="2"/>
    <x v="1"/>
    <n v="19"/>
    <x v="2"/>
    <n v="7"/>
    <n v="0"/>
    <x v="13"/>
    <n v="7"/>
    <x v="2"/>
  </r>
  <r>
    <n v="16"/>
    <n v="70"/>
    <s v="Female"/>
    <x v="1"/>
    <x v="2"/>
    <n v="6"/>
    <x v="1"/>
    <n v="9"/>
    <n v="5"/>
    <x v="14"/>
    <n v="4"/>
    <x v="0"/>
  </r>
  <r>
    <n v="17"/>
    <n v="53"/>
    <s v="Female"/>
    <x v="2"/>
    <x v="1"/>
    <n v="3"/>
    <x v="2"/>
    <n v="6"/>
    <n v="5"/>
    <x v="15"/>
    <n v="1"/>
    <x v="0"/>
  </r>
  <r>
    <n v="18"/>
    <n v="57"/>
    <s v="Male"/>
    <x v="1"/>
    <x v="2"/>
    <n v="10"/>
    <x v="1"/>
    <n v="8"/>
    <n v="0"/>
    <x v="16"/>
    <n v="8"/>
    <x v="1"/>
  </r>
  <r>
    <n v="19"/>
    <n v="41"/>
    <s v="Male"/>
    <x v="2"/>
    <x v="3"/>
    <n v="19"/>
    <x v="2"/>
    <n v="7"/>
    <n v="5"/>
    <x v="17"/>
    <n v="2"/>
    <x v="2"/>
  </r>
  <r>
    <n v="20"/>
    <n v="20"/>
    <s v="Female"/>
    <x v="3"/>
    <x v="0"/>
    <n v="5"/>
    <x v="0"/>
    <n v="6"/>
    <n v="3"/>
    <x v="18"/>
    <n v="3"/>
    <x v="0"/>
  </r>
  <r>
    <n v="21"/>
    <n v="39"/>
    <s v="Female"/>
    <x v="3"/>
    <x v="2"/>
    <n v="22"/>
    <x v="2"/>
    <n v="7"/>
    <n v="3"/>
    <x v="19"/>
    <n v="4"/>
    <x v="2"/>
  </r>
  <r>
    <n v="22"/>
    <n v="70"/>
    <s v="Male"/>
    <x v="1"/>
    <x v="1"/>
    <n v="17"/>
    <x v="2"/>
    <n v="6"/>
    <n v="3"/>
    <x v="20"/>
    <n v="3"/>
    <x v="2"/>
  </r>
  <r>
    <n v="23"/>
    <n v="19"/>
    <s v="Male"/>
    <x v="0"/>
    <x v="3"/>
    <n v="17"/>
    <x v="2"/>
    <n v="5"/>
    <n v="0"/>
    <x v="21"/>
    <n v="5"/>
    <x v="2"/>
  </r>
  <r>
    <n v="24"/>
    <n v="41"/>
    <s v="Female"/>
    <x v="1"/>
    <x v="2"/>
    <n v="24"/>
    <x v="2"/>
    <n v="7"/>
    <n v="5"/>
    <x v="3"/>
    <n v="2"/>
    <x v="2"/>
  </r>
  <r>
    <n v="25"/>
    <n v="61"/>
    <s v="Male"/>
    <x v="1"/>
    <x v="2"/>
    <n v="16"/>
    <x v="1"/>
    <n v="8"/>
    <n v="0"/>
    <x v="11"/>
    <n v="8"/>
    <x v="1"/>
  </r>
  <r>
    <n v="26"/>
    <n v="47"/>
    <s v="Female"/>
    <x v="2"/>
    <x v="3"/>
    <n v="16"/>
    <x v="0"/>
    <n v="8"/>
    <n v="3"/>
    <x v="22"/>
    <n v="5"/>
    <x v="1"/>
  </r>
  <r>
    <n v="27"/>
    <n v="55"/>
    <s v="Female"/>
    <x v="2"/>
    <x v="2"/>
    <n v="4"/>
    <x v="2"/>
    <n v="9"/>
    <n v="5"/>
    <x v="23"/>
    <n v="4"/>
    <x v="0"/>
  </r>
  <r>
    <n v="28"/>
    <n v="19"/>
    <s v="Male"/>
    <x v="1"/>
    <x v="0"/>
    <n v="15"/>
    <x v="1"/>
    <n v="6"/>
    <n v="5"/>
    <x v="24"/>
    <n v="1"/>
    <x v="1"/>
  </r>
  <r>
    <n v="29"/>
    <n v="77"/>
    <s v="Male"/>
    <x v="3"/>
    <x v="2"/>
    <n v="16"/>
    <x v="0"/>
    <n v="7"/>
    <n v="4"/>
    <x v="25"/>
    <n v="3"/>
    <x v="1"/>
  </r>
  <r>
    <n v="30"/>
    <n v="38"/>
    <s v="Female"/>
    <x v="2"/>
    <x v="0"/>
    <n v="21"/>
    <x v="0"/>
    <n v="9"/>
    <n v="4"/>
    <x v="26"/>
    <n v="5"/>
    <x v="2"/>
  </r>
  <r>
    <n v="31"/>
    <n v="50"/>
    <s v="Female"/>
    <x v="0"/>
    <x v="0"/>
    <n v="9"/>
    <x v="0"/>
    <n v="7"/>
    <n v="1"/>
    <x v="27"/>
    <n v="6"/>
    <x v="1"/>
  </r>
  <r>
    <n v="32"/>
    <n v="29"/>
    <s v="Male"/>
    <x v="2"/>
    <x v="3"/>
    <n v="5"/>
    <x v="0"/>
    <n v="6"/>
    <n v="2"/>
    <x v="28"/>
    <n v="4"/>
    <x v="0"/>
  </r>
  <r>
    <n v="33"/>
    <n v="75"/>
    <s v="Female"/>
    <x v="2"/>
    <x v="2"/>
    <n v="17"/>
    <x v="2"/>
    <n v="8"/>
    <n v="4"/>
    <x v="29"/>
    <n v="4"/>
    <x v="2"/>
  </r>
  <r>
    <n v="34"/>
    <n v="39"/>
    <s v="Male"/>
    <x v="0"/>
    <x v="3"/>
    <n v="16"/>
    <x v="2"/>
    <n v="5"/>
    <n v="0"/>
    <x v="5"/>
    <n v="5"/>
    <x v="1"/>
  </r>
  <r>
    <n v="35"/>
    <n v="78"/>
    <s v="Female"/>
    <x v="1"/>
    <x v="2"/>
    <n v="13"/>
    <x v="1"/>
    <n v="8"/>
    <n v="4"/>
    <x v="30"/>
    <n v="4"/>
    <x v="1"/>
  </r>
  <r>
    <n v="36"/>
    <n v="61"/>
    <s v="Male"/>
    <x v="0"/>
    <x v="2"/>
    <n v="17"/>
    <x v="1"/>
    <n v="9"/>
    <n v="1"/>
    <x v="31"/>
    <n v="8"/>
    <x v="2"/>
  </r>
  <r>
    <n v="37"/>
    <n v="42"/>
    <s v="Male"/>
    <x v="1"/>
    <x v="1"/>
    <n v="15"/>
    <x v="1"/>
    <n v="5"/>
    <n v="5"/>
    <x v="0"/>
    <n v="0"/>
    <x v="1"/>
  </r>
  <r>
    <n v="38"/>
    <n v="66"/>
    <s v="Male"/>
    <x v="1"/>
    <x v="2"/>
    <n v="20"/>
    <x v="0"/>
    <n v="9"/>
    <n v="1"/>
    <x v="32"/>
    <n v="8"/>
    <x v="2"/>
  </r>
  <r>
    <n v="39"/>
    <n v="44"/>
    <s v="Female"/>
    <x v="1"/>
    <x v="3"/>
    <n v="8"/>
    <x v="0"/>
    <n v="6"/>
    <n v="5"/>
    <x v="33"/>
    <n v="1"/>
    <x v="0"/>
  </r>
  <r>
    <n v="40"/>
    <n v="76"/>
    <s v="Female"/>
    <x v="0"/>
    <x v="0"/>
    <n v="5"/>
    <x v="2"/>
    <n v="5"/>
    <n v="5"/>
    <x v="34"/>
    <n v="0"/>
    <x v="0"/>
  </r>
  <r>
    <n v="41"/>
    <n v="59"/>
    <s v="Male"/>
    <x v="1"/>
    <x v="2"/>
    <n v="21"/>
    <x v="0"/>
    <n v="9"/>
    <n v="2"/>
    <x v="35"/>
    <n v="7"/>
    <x v="2"/>
  </r>
  <r>
    <n v="42"/>
    <n v="45"/>
    <s v="Female"/>
    <x v="3"/>
    <x v="1"/>
    <n v="17"/>
    <x v="0"/>
    <n v="6"/>
    <n v="4"/>
    <x v="36"/>
    <n v="2"/>
    <x v="2"/>
  </r>
  <r>
    <n v="43"/>
    <n v="77"/>
    <s v="Male"/>
    <x v="0"/>
    <x v="3"/>
    <n v="7"/>
    <x v="0"/>
    <n v="8"/>
    <n v="0"/>
    <x v="15"/>
    <n v="8"/>
    <x v="0"/>
  </r>
  <r>
    <n v="44"/>
    <n v="33"/>
    <s v="Male"/>
    <x v="3"/>
    <x v="2"/>
    <n v="12"/>
    <x v="1"/>
    <n v="6"/>
    <n v="0"/>
    <x v="37"/>
    <n v="6"/>
    <x v="1"/>
  </r>
  <r>
    <n v="45"/>
    <n v="32"/>
    <s v="Female"/>
    <x v="1"/>
    <x v="3"/>
    <n v="9"/>
    <x v="1"/>
    <n v="7"/>
    <n v="3"/>
    <x v="38"/>
    <n v="4"/>
    <x v="1"/>
  </r>
  <r>
    <n v="46"/>
    <n v="79"/>
    <s v="Female"/>
    <x v="2"/>
    <x v="1"/>
    <n v="19"/>
    <x v="2"/>
    <n v="6"/>
    <n v="5"/>
    <x v="39"/>
    <n v="1"/>
    <x v="2"/>
  </r>
  <r>
    <n v="47"/>
    <n v="79"/>
    <s v="Male"/>
    <x v="1"/>
    <x v="1"/>
    <n v="9"/>
    <x v="0"/>
    <n v="6"/>
    <n v="0"/>
    <x v="40"/>
    <n v="6"/>
    <x v="1"/>
  </r>
  <r>
    <n v="48"/>
    <n v="64"/>
    <s v="Female"/>
    <x v="3"/>
    <x v="3"/>
    <n v="24"/>
    <x v="0"/>
    <n v="7"/>
    <n v="2"/>
    <x v="41"/>
    <n v="5"/>
    <x v="2"/>
  </r>
  <r>
    <n v="49"/>
    <n v="79"/>
    <s v="Female"/>
    <x v="3"/>
    <x v="2"/>
    <n v="14"/>
    <x v="2"/>
    <n v="9"/>
    <n v="5"/>
    <x v="42"/>
    <n v="4"/>
    <x v="1"/>
  </r>
  <r>
    <n v="50"/>
    <n v="68"/>
    <s v="Male"/>
    <x v="0"/>
    <x v="0"/>
    <n v="19"/>
    <x v="0"/>
    <n v="9"/>
    <n v="2"/>
    <x v="43"/>
    <n v="7"/>
    <x v="2"/>
  </r>
  <r>
    <n v="51"/>
    <n v="61"/>
    <s v="Male"/>
    <x v="2"/>
    <x v="1"/>
    <n v="15"/>
    <x v="0"/>
    <n v="6"/>
    <n v="0"/>
    <x v="29"/>
    <n v="6"/>
    <x v="1"/>
  </r>
  <r>
    <n v="52"/>
    <n v="72"/>
    <s v="Female"/>
    <x v="0"/>
    <x v="2"/>
    <n v="22"/>
    <x v="1"/>
    <n v="7"/>
    <n v="0"/>
    <x v="44"/>
    <n v="7"/>
    <x v="2"/>
  </r>
  <r>
    <n v="53"/>
    <n v="69"/>
    <s v="Male"/>
    <x v="3"/>
    <x v="2"/>
    <n v="6"/>
    <x v="2"/>
    <n v="7"/>
    <n v="3"/>
    <x v="26"/>
    <n v="4"/>
    <x v="0"/>
  </r>
  <r>
    <n v="54"/>
    <n v="74"/>
    <s v="Male"/>
    <x v="1"/>
    <x v="0"/>
    <n v="12"/>
    <x v="2"/>
    <n v="8"/>
    <n v="0"/>
    <x v="34"/>
    <n v="8"/>
    <x v="1"/>
  </r>
  <r>
    <n v="55"/>
    <n v="20"/>
    <s v="Female"/>
    <x v="2"/>
    <x v="1"/>
    <n v="5"/>
    <x v="2"/>
    <n v="9"/>
    <n v="5"/>
    <x v="45"/>
    <n v="4"/>
    <x v="0"/>
  </r>
  <r>
    <n v="56"/>
    <n v="54"/>
    <s v="Male"/>
    <x v="1"/>
    <x v="1"/>
    <n v="11"/>
    <x v="2"/>
    <n v="5"/>
    <n v="5"/>
    <x v="43"/>
    <n v="0"/>
    <x v="1"/>
  </r>
  <r>
    <n v="57"/>
    <n v="68"/>
    <s v="Male"/>
    <x v="1"/>
    <x v="2"/>
    <n v="15"/>
    <x v="1"/>
    <n v="9"/>
    <n v="5"/>
    <x v="46"/>
    <n v="4"/>
    <x v="1"/>
  </r>
  <r>
    <n v="58"/>
    <n v="24"/>
    <s v="Female"/>
    <x v="2"/>
    <x v="2"/>
    <n v="20"/>
    <x v="1"/>
    <n v="9"/>
    <n v="3"/>
    <x v="31"/>
    <n v="6"/>
    <x v="2"/>
  </r>
  <r>
    <n v="59"/>
    <n v="38"/>
    <s v="Female"/>
    <x v="0"/>
    <x v="0"/>
    <n v="17"/>
    <x v="0"/>
    <n v="8"/>
    <n v="3"/>
    <x v="36"/>
    <n v="5"/>
    <x v="2"/>
  </r>
  <r>
    <n v="60"/>
    <n v="26"/>
    <s v="Male"/>
    <x v="1"/>
    <x v="0"/>
    <n v="6"/>
    <x v="0"/>
    <n v="5"/>
    <n v="0"/>
    <x v="47"/>
    <n v="5"/>
    <x v="0"/>
  </r>
  <r>
    <n v="61"/>
    <n v="56"/>
    <s v="Male"/>
    <x v="3"/>
    <x v="1"/>
    <n v="17"/>
    <x v="0"/>
    <n v="8"/>
    <n v="1"/>
    <x v="28"/>
    <n v="7"/>
    <x v="2"/>
  </r>
  <r>
    <n v="62"/>
    <n v="35"/>
    <s v="Female"/>
    <x v="1"/>
    <x v="3"/>
    <n v="24"/>
    <x v="0"/>
    <n v="5"/>
    <n v="1"/>
    <x v="48"/>
    <n v="4"/>
    <x v="2"/>
  </r>
  <r>
    <n v="63"/>
    <n v="21"/>
    <s v="Female"/>
    <x v="2"/>
    <x v="1"/>
    <n v="4"/>
    <x v="1"/>
    <n v="6"/>
    <n v="3"/>
    <x v="8"/>
    <n v="3"/>
    <x v="0"/>
  </r>
  <r>
    <n v="64"/>
    <n v="42"/>
    <s v="Female"/>
    <x v="2"/>
    <x v="2"/>
    <n v="17"/>
    <x v="2"/>
    <n v="5"/>
    <n v="0"/>
    <x v="49"/>
    <n v="5"/>
    <x v="2"/>
  </r>
  <r>
    <n v="65"/>
    <n v="77"/>
    <s v="Female"/>
    <x v="2"/>
    <x v="1"/>
    <n v="10"/>
    <x v="1"/>
    <n v="8"/>
    <n v="1"/>
    <x v="50"/>
    <n v="7"/>
    <x v="1"/>
  </r>
  <r>
    <n v="66"/>
    <n v="31"/>
    <s v="Male"/>
    <x v="0"/>
    <x v="3"/>
    <n v="10"/>
    <x v="0"/>
    <n v="9"/>
    <n v="0"/>
    <x v="8"/>
    <n v="9"/>
    <x v="1"/>
  </r>
  <r>
    <n v="67"/>
    <n v="67"/>
    <s v="Female"/>
    <x v="1"/>
    <x v="0"/>
    <n v="19"/>
    <x v="1"/>
    <n v="5"/>
    <n v="0"/>
    <x v="30"/>
    <n v="5"/>
    <x v="2"/>
  </r>
  <r>
    <n v="68"/>
    <n v="75"/>
    <s v="Female"/>
    <x v="0"/>
    <x v="3"/>
    <n v="14"/>
    <x v="2"/>
    <n v="5"/>
    <n v="0"/>
    <x v="41"/>
    <n v="5"/>
    <x v="1"/>
  </r>
  <r>
    <n v="69"/>
    <n v="26"/>
    <s v="Male"/>
    <x v="0"/>
    <x v="3"/>
    <n v="21"/>
    <x v="2"/>
    <n v="7"/>
    <n v="4"/>
    <x v="48"/>
    <n v="3"/>
    <x v="2"/>
  </r>
  <r>
    <n v="70"/>
    <n v="43"/>
    <s v="Female"/>
    <x v="2"/>
    <x v="3"/>
    <n v="12"/>
    <x v="1"/>
    <n v="9"/>
    <n v="5"/>
    <x v="19"/>
    <n v="4"/>
    <x v="1"/>
  </r>
  <r>
    <n v="71"/>
    <n v="70"/>
    <s v="Male"/>
    <x v="2"/>
    <x v="0"/>
    <n v="11"/>
    <x v="1"/>
    <n v="6"/>
    <n v="0"/>
    <x v="45"/>
    <n v="6"/>
    <x v="1"/>
  </r>
  <r>
    <n v="72"/>
    <n v="19"/>
    <s v="Female"/>
    <x v="0"/>
    <x v="3"/>
    <n v="7"/>
    <x v="1"/>
    <n v="8"/>
    <n v="4"/>
    <x v="36"/>
    <n v="4"/>
    <x v="0"/>
  </r>
  <r>
    <n v="73"/>
    <n v="37"/>
    <s v="Female"/>
    <x v="1"/>
    <x v="3"/>
    <n v="8"/>
    <x v="0"/>
    <n v="6"/>
    <n v="3"/>
    <x v="51"/>
    <n v="3"/>
    <x v="0"/>
  </r>
  <r>
    <n v="74"/>
    <n v="45"/>
    <s v="Female"/>
    <x v="3"/>
    <x v="3"/>
    <n v="22"/>
    <x v="1"/>
    <n v="9"/>
    <n v="1"/>
    <x v="52"/>
    <n v="8"/>
    <x v="2"/>
  </r>
  <r>
    <n v="75"/>
    <n v="64"/>
    <s v="Male"/>
    <x v="0"/>
    <x v="2"/>
    <n v="4"/>
    <x v="1"/>
    <n v="5"/>
    <n v="5"/>
    <x v="53"/>
    <n v="0"/>
    <x v="0"/>
  </r>
  <r>
    <n v="76"/>
    <n v="77"/>
    <s v="Male"/>
    <x v="1"/>
    <x v="3"/>
    <n v="15"/>
    <x v="1"/>
    <n v="5"/>
    <n v="1"/>
    <x v="47"/>
    <n v="4"/>
    <x v="1"/>
  </r>
  <r>
    <n v="77"/>
    <n v="24"/>
    <s v="Female"/>
    <x v="2"/>
    <x v="0"/>
    <n v="8"/>
    <x v="2"/>
    <n v="9"/>
    <n v="5"/>
    <x v="5"/>
    <n v="4"/>
    <x v="0"/>
  </r>
  <r>
    <n v="78"/>
    <n v="61"/>
    <s v="Male"/>
    <x v="2"/>
    <x v="3"/>
    <n v="7"/>
    <x v="2"/>
    <n v="5"/>
    <n v="1"/>
    <x v="54"/>
    <n v="4"/>
    <x v="0"/>
  </r>
  <r>
    <n v="79"/>
    <n v="78"/>
    <s v="Male"/>
    <x v="1"/>
    <x v="3"/>
    <n v="3"/>
    <x v="0"/>
    <n v="5"/>
    <n v="5"/>
    <x v="55"/>
    <n v="0"/>
    <x v="0"/>
  </r>
  <r>
    <n v="80"/>
    <n v="25"/>
    <s v="Male"/>
    <x v="3"/>
    <x v="0"/>
    <n v="23"/>
    <x v="0"/>
    <n v="5"/>
    <n v="1"/>
    <x v="56"/>
    <n v="4"/>
    <x v="2"/>
  </r>
  <r>
    <n v="81"/>
    <n v="64"/>
    <s v="Male"/>
    <x v="2"/>
    <x v="3"/>
    <n v="24"/>
    <x v="2"/>
    <n v="8"/>
    <n v="1"/>
    <x v="26"/>
    <n v="7"/>
    <x v="2"/>
  </r>
  <r>
    <n v="82"/>
    <n v="52"/>
    <s v="Male"/>
    <x v="2"/>
    <x v="0"/>
    <n v="23"/>
    <x v="2"/>
    <n v="8"/>
    <n v="1"/>
    <x v="4"/>
    <n v="7"/>
    <x v="2"/>
  </r>
  <r>
    <n v="83"/>
    <n v="31"/>
    <s v="Male"/>
    <x v="2"/>
    <x v="3"/>
    <n v="8"/>
    <x v="2"/>
    <n v="7"/>
    <n v="1"/>
    <x v="57"/>
    <n v="6"/>
    <x v="0"/>
  </r>
  <r>
    <n v="84"/>
    <n v="34"/>
    <s v="Female"/>
    <x v="1"/>
    <x v="0"/>
    <n v="8"/>
    <x v="1"/>
    <n v="6"/>
    <n v="3"/>
    <x v="13"/>
    <n v="3"/>
    <x v="0"/>
  </r>
  <r>
    <n v="85"/>
    <n v="53"/>
    <s v="Female"/>
    <x v="0"/>
    <x v="3"/>
    <n v="18"/>
    <x v="1"/>
    <n v="9"/>
    <n v="0"/>
    <x v="23"/>
    <n v="9"/>
    <x v="2"/>
  </r>
  <r>
    <n v="86"/>
    <n v="67"/>
    <s v="Male"/>
    <x v="2"/>
    <x v="3"/>
    <n v="6"/>
    <x v="2"/>
    <n v="9"/>
    <n v="2"/>
    <x v="56"/>
    <n v="7"/>
    <x v="0"/>
  </r>
  <r>
    <n v="87"/>
    <n v="57"/>
    <s v="Female"/>
    <x v="0"/>
    <x v="2"/>
    <n v="13"/>
    <x v="1"/>
    <n v="9"/>
    <n v="4"/>
    <x v="57"/>
    <n v="5"/>
    <x v="1"/>
  </r>
  <r>
    <n v="88"/>
    <n v="21"/>
    <s v="Female"/>
    <x v="3"/>
    <x v="2"/>
    <n v="11"/>
    <x v="1"/>
    <n v="7"/>
    <n v="2"/>
    <x v="58"/>
    <n v="5"/>
    <x v="1"/>
  </r>
  <r>
    <n v="89"/>
    <n v="19"/>
    <s v="Female"/>
    <x v="2"/>
    <x v="3"/>
    <n v="5"/>
    <x v="0"/>
    <n v="8"/>
    <n v="2"/>
    <x v="30"/>
    <n v="6"/>
    <x v="0"/>
  </r>
  <r>
    <n v="90"/>
    <n v="79"/>
    <s v="Female"/>
    <x v="2"/>
    <x v="3"/>
    <n v="21"/>
    <x v="2"/>
    <n v="7"/>
    <n v="5"/>
    <x v="59"/>
    <n v="2"/>
    <x v="2"/>
  </r>
  <r>
    <n v="91"/>
    <n v="23"/>
    <s v="Male"/>
    <x v="3"/>
    <x v="1"/>
    <n v="10"/>
    <x v="2"/>
    <n v="9"/>
    <n v="0"/>
    <x v="60"/>
    <n v="9"/>
    <x v="1"/>
  </r>
  <r>
    <n v="92"/>
    <n v="71"/>
    <s v="Female"/>
    <x v="2"/>
    <x v="0"/>
    <n v="7"/>
    <x v="1"/>
    <n v="6"/>
    <n v="5"/>
    <x v="26"/>
    <n v="1"/>
    <x v="0"/>
  </r>
  <r>
    <n v="93"/>
    <n v="59"/>
    <s v="Female"/>
    <x v="0"/>
    <x v="1"/>
    <n v="6"/>
    <x v="2"/>
    <n v="5"/>
    <n v="0"/>
    <x v="29"/>
    <n v="5"/>
    <x v="0"/>
  </r>
  <r>
    <n v="94"/>
    <n v="21"/>
    <s v="Male"/>
    <x v="1"/>
    <x v="2"/>
    <n v="8"/>
    <x v="0"/>
    <n v="8"/>
    <n v="0"/>
    <x v="61"/>
    <n v="8"/>
    <x v="0"/>
  </r>
  <r>
    <n v="95"/>
    <n v="71"/>
    <s v="Male"/>
    <x v="0"/>
    <x v="2"/>
    <n v="4"/>
    <x v="0"/>
    <n v="8"/>
    <n v="1"/>
    <x v="7"/>
    <n v="7"/>
    <x v="0"/>
  </r>
  <r>
    <n v="96"/>
    <n v="46"/>
    <s v="Female"/>
    <x v="1"/>
    <x v="2"/>
    <n v="22"/>
    <x v="0"/>
    <n v="7"/>
    <n v="3"/>
    <x v="62"/>
    <n v="4"/>
    <x v="2"/>
  </r>
  <r>
    <n v="97"/>
    <n v="35"/>
    <s v="Female"/>
    <x v="1"/>
    <x v="2"/>
    <n v="13"/>
    <x v="2"/>
    <n v="8"/>
    <n v="1"/>
    <x v="63"/>
    <n v="7"/>
    <x v="1"/>
  </r>
  <r>
    <n v="98"/>
    <n v="43"/>
    <s v="Female"/>
    <x v="0"/>
    <x v="3"/>
    <n v="6"/>
    <x v="2"/>
    <n v="9"/>
    <n v="3"/>
    <x v="8"/>
    <n v="6"/>
    <x v="0"/>
  </r>
  <r>
    <n v="99"/>
    <n v="61"/>
    <s v="Female"/>
    <x v="0"/>
    <x v="2"/>
    <n v="17"/>
    <x v="2"/>
    <n v="9"/>
    <n v="5"/>
    <x v="15"/>
    <n v="4"/>
    <x v="2"/>
  </r>
  <r>
    <n v="100"/>
    <n v="51"/>
    <s v="Female"/>
    <x v="0"/>
    <x v="3"/>
    <n v="8"/>
    <x v="2"/>
    <n v="7"/>
    <n v="3"/>
    <x v="64"/>
    <n v="4"/>
    <x v="0"/>
  </r>
  <r>
    <n v="101"/>
    <n v="27"/>
    <s v="Female"/>
    <x v="0"/>
    <x v="3"/>
    <n v="24"/>
    <x v="2"/>
    <n v="9"/>
    <n v="5"/>
    <x v="65"/>
    <n v="4"/>
    <x v="2"/>
  </r>
  <r>
    <n v="102"/>
    <n v="79"/>
    <s v="Male"/>
    <x v="3"/>
    <x v="2"/>
    <n v="19"/>
    <x v="0"/>
    <n v="6"/>
    <n v="2"/>
    <x v="25"/>
    <n v="4"/>
    <x v="2"/>
  </r>
  <r>
    <n v="103"/>
    <n v="53"/>
    <s v="Female"/>
    <x v="2"/>
    <x v="2"/>
    <n v="8"/>
    <x v="1"/>
    <n v="7"/>
    <n v="2"/>
    <x v="49"/>
    <n v="5"/>
    <x v="0"/>
  </r>
  <r>
    <n v="104"/>
    <n v="31"/>
    <s v="Female"/>
    <x v="1"/>
    <x v="0"/>
    <n v="21"/>
    <x v="0"/>
    <n v="6"/>
    <n v="3"/>
    <x v="66"/>
    <n v="3"/>
    <x v="2"/>
  </r>
  <r>
    <n v="105"/>
    <n v="48"/>
    <s v="Male"/>
    <x v="0"/>
    <x v="1"/>
    <n v="4"/>
    <x v="2"/>
    <n v="5"/>
    <n v="3"/>
    <x v="17"/>
    <n v="2"/>
    <x v="0"/>
  </r>
  <r>
    <n v="106"/>
    <n v="65"/>
    <s v="Male"/>
    <x v="0"/>
    <x v="2"/>
    <n v="17"/>
    <x v="0"/>
    <n v="6"/>
    <n v="5"/>
    <x v="39"/>
    <n v="1"/>
    <x v="2"/>
  </r>
  <r>
    <n v="107"/>
    <n v="32"/>
    <s v="Male"/>
    <x v="0"/>
    <x v="0"/>
    <n v="13"/>
    <x v="2"/>
    <n v="5"/>
    <n v="1"/>
    <x v="27"/>
    <n v="4"/>
    <x v="1"/>
  </r>
  <r>
    <n v="108"/>
    <n v="25"/>
    <s v="Male"/>
    <x v="3"/>
    <x v="0"/>
    <n v="10"/>
    <x v="2"/>
    <n v="5"/>
    <n v="5"/>
    <x v="67"/>
    <n v="0"/>
    <x v="1"/>
  </r>
  <r>
    <n v="109"/>
    <n v="31"/>
    <s v="Female"/>
    <x v="0"/>
    <x v="1"/>
    <n v="21"/>
    <x v="0"/>
    <n v="6"/>
    <n v="1"/>
    <x v="68"/>
    <n v="5"/>
    <x v="2"/>
  </r>
  <r>
    <n v="110"/>
    <n v="40"/>
    <s v="Female"/>
    <x v="0"/>
    <x v="3"/>
    <n v="15"/>
    <x v="2"/>
    <n v="7"/>
    <n v="2"/>
    <x v="4"/>
    <n v="5"/>
    <x v="1"/>
  </r>
  <r>
    <n v="111"/>
    <n v="77"/>
    <s v="Female"/>
    <x v="0"/>
    <x v="2"/>
    <n v="14"/>
    <x v="1"/>
    <n v="9"/>
    <n v="0"/>
    <x v="21"/>
    <n v="9"/>
    <x v="1"/>
  </r>
  <r>
    <n v="112"/>
    <n v="74"/>
    <s v="Female"/>
    <x v="2"/>
    <x v="1"/>
    <n v="7"/>
    <x v="2"/>
    <n v="9"/>
    <n v="3"/>
    <x v="25"/>
    <n v="6"/>
    <x v="0"/>
  </r>
  <r>
    <n v="113"/>
    <n v="79"/>
    <s v="Female"/>
    <x v="3"/>
    <x v="2"/>
    <n v="8"/>
    <x v="1"/>
    <n v="5"/>
    <n v="1"/>
    <x v="34"/>
    <n v="4"/>
    <x v="0"/>
  </r>
  <r>
    <n v="114"/>
    <n v="57"/>
    <s v="Female"/>
    <x v="0"/>
    <x v="0"/>
    <n v="24"/>
    <x v="1"/>
    <n v="5"/>
    <n v="5"/>
    <x v="39"/>
    <n v="0"/>
    <x v="2"/>
  </r>
  <r>
    <n v="115"/>
    <n v="38"/>
    <s v="Male"/>
    <x v="1"/>
    <x v="0"/>
    <n v="6"/>
    <x v="2"/>
    <n v="7"/>
    <n v="2"/>
    <x v="41"/>
    <n v="5"/>
    <x v="0"/>
  </r>
  <r>
    <n v="116"/>
    <n v="33"/>
    <s v="Female"/>
    <x v="1"/>
    <x v="3"/>
    <n v="21"/>
    <x v="0"/>
    <n v="8"/>
    <n v="1"/>
    <x v="69"/>
    <n v="7"/>
    <x v="2"/>
  </r>
  <r>
    <n v="117"/>
    <n v="62"/>
    <s v="Male"/>
    <x v="1"/>
    <x v="0"/>
    <n v="22"/>
    <x v="1"/>
    <n v="6"/>
    <n v="5"/>
    <x v="60"/>
    <n v="1"/>
    <x v="2"/>
  </r>
  <r>
    <n v="118"/>
    <n v="35"/>
    <s v="Male"/>
    <x v="3"/>
    <x v="0"/>
    <n v="3"/>
    <x v="0"/>
    <n v="5"/>
    <n v="3"/>
    <x v="21"/>
    <n v="2"/>
    <x v="0"/>
  </r>
  <r>
    <n v="119"/>
    <n v="64"/>
    <s v="Female"/>
    <x v="3"/>
    <x v="1"/>
    <n v="22"/>
    <x v="1"/>
    <n v="9"/>
    <n v="3"/>
    <x v="70"/>
    <n v="6"/>
    <x v="2"/>
  </r>
  <r>
    <n v="120"/>
    <n v="70"/>
    <s v="Male"/>
    <x v="1"/>
    <x v="2"/>
    <n v="19"/>
    <x v="2"/>
    <n v="7"/>
    <n v="4"/>
    <x v="71"/>
    <n v="3"/>
    <x v="2"/>
  </r>
  <r>
    <n v="121"/>
    <n v="41"/>
    <s v="Female"/>
    <x v="0"/>
    <x v="2"/>
    <n v="14"/>
    <x v="2"/>
    <n v="6"/>
    <n v="0"/>
    <x v="9"/>
    <n v="6"/>
    <x v="1"/>
  </r>
  <r>
    <n v="122"/>
    <n v="43"/>
    <s v="Male"/>
    <x v="3"/>
    <x v="1"/>
    <n v="17"/>
    <x v="1"/>
    <n v="7"/>
    <n v="4"/>
    <x v="48"/>
    <n v="3"/>
    <x v="2"/>
  </r>
  <r>
    <n v="123"/>
    <n v="42"/>
    <s v="Female"/>
    <x v="1"/>
    <x v="3"/>
    <n v="3"/>
    <x v="2"/>
    <n v="6"/>
    <n v="2"/>
    <x v="34"/>
    <n v="4"/>
    <x v="0"/>
  </r>
  <r>
    <n v="124"/>
    <n v="77"/>
    <s v="Male"/>
    <x v="1"/>
    <x v="2"/>
    <n v="16"/>
    <x v="1"/>
    <n v="6"/>
    <n v="1"/>
    <x v="72"/>
    <n v="5"/>
    <x v="1"/>
  </r>
  <r>
    <n v="125"/>
    <n v="77"/>
    <s v="Female"/>
    <x v="0"/>
    <x v="0"/>
    <n v="8"/>
    <x v="2"/>
    <n v="5"/>
    <n v="2"/>
    <x v="73"/>
    <n v="3"/>
    <x v="0"/>
  </r>
  <r>
    <n v="126"/>
    <n v="77"/>
    <s v="Female"/>
    <x v="2"/>
    <x v="2"/>
    <n v="7"/>
    <x v="0"/>
    <n v="7"/>
    <n v="5"/>
    <x v="63"/>
    <n v="2"/>
    <x v="0"/>
  </r>
  <r>
    <n v="127"/>
    <n v="62"/>
    <s v="Female"/>
    <x v="3"/>
    <x v="0"/>
    <n v="13"/>
    <x v="2"/>
    <n v="7"/>
    <n v="3"/>
    <x v="74"/>
    <n v="4"/>
    <x v="1"/>
  </r>
  <r>
    <n v="128"/>
    <n v="58"/>
    <s v="Female"/>
    <x v="0"/>
    <x v="3"/>
    <n v="6"/>
    <x v="0"/>
    <n v="9"/>
    <n v="4"/>
    <x v="57"/>
    <n v="5"/>
    <x v="0"/>
  </r>
  <r>
    <n v="129"/>
    <n v="46"/>
    <s v="Female"/>
    <x v="1"/>
    <x v="1"/>
    <n v="15"/>
    <x v="2"/>
    <n v="9"/>
    <n v="4"/>
    <x v="16"/>
    <n v="5"/>
    <x v="1"/>
  </r>
  <r>
    <n v="130"/>
    <n v="32"/>
    <s v="Male"/>
    <x v="1"/>
    <x v="2"/>
    <n v="13"/>
    <x v="0"/>
    <n v="5"/>
    <n v="4"/>
    <x v="34"/>
    <n v="1"/>
    <x v="1"/>
  </r>
  <r>
    <n v="131"/>
    <n v="62"/>
    <s v="Male"/>
    <x v="0"/>
    <x v="1"/>
    <n v="5"/>
    <x v="2"/>
    <n v="5"/>
    <n v="2"/>
    <x v="75"/>
    <n v="3"/>
    <x v="0"/>
  </r>
  <r>
    <n v="132"/>
    <n v="18"/>
    <s v="Male"/>
    <x v="3"/>
    <x v="2"/>
    <n v="3"/>
    <x v="0"/>
    <n v="8"/>
    <n v="3"/>
    <x v="41"/>
    <n v="5"/>
    <x v="0"/>
  </r>
  <r>
    <n v="133"/>
    <n v="42"/>
    <s v="Female"/>
    <x v="2"/>
    <x v="0"/>
    <n v="8"/>
    <x v="1"/>
    <n v="9"/>
    <n v="1"/>
    <x v="27"/>
    <n v="8"/>
    <x v="0"/>
  </r>
  <r>
    <n v="134"/>
    <n v="24"/>
    <s v="Male"/>
    <x v="2"/>
    <x v="1"/>
    <n v="20"/>
    <x v="1"/>
    <n v="6"/>
    <n v="5"/>
    <x v="76"/>
    <n v="1"/>
    <x v="2"/>
  </r>
  <r>
    <n v="135"/>
    <n v="26"/>
    <s v="Female"/>
    <x v="1"/>
    <x v="2"/>
    <n v="12"/>
    <x v="0"/>
    <n v="7"/>
    <n v="1"/>
    <x v="16"/>
    <n v="6"/>
    <x v="1"/>
  </r>
  <r>
    <n v="136"/>
    <n v="41"/>
    <s v="Female"/>
    <x v="3"/>
    <x v="0"/>
    <n v="7"/>
    <x v="2"/>
    <n v="5"/>
    <n v="2"/>
    <x v="53"/>
    <n v="3"/>
    <x v="0"/>
  </r>
  <r>
    <n v="137"/>
    <n v="18"/>
    <s v="Male"/>
    <x v="2"/>
    <x v="1"/>
    <n v="12"/>
    <x v="0"/>
    <n v="7"/>
    <n v="5"/>
    <x v="58"/>
    <n v="2"/>
    <x v="1"/>
  </r>
  <r>
    <n v="138"/>
    <n v="61"/>
    <s v="Male"/>
    <x v="3"/>
    <x v="1"/>
    <n v="14"/>
    <x v="2"/>
    <n v="7"/>
    <n v="4"/>
    <x v="51"/>
    <n v="3"/>
    <x v="1"/>
  </r>
  <r>
    <n v="139"/>
    <n v="25"/>
    <s v="Female"/>
    <x v="3"/>
    <x v="2"/>
    <n v="4"/>
    <x v="1"/>
    <n v="8"/>
    <n v="0"/>
    <x v="77"/>
    <n v="8"/>
    <x v="0"/>
  </r>
  <r>
    <n v="140"/>
    <n v="41"/>
    <s v="Male"/>
    <x v="1"/>
    <x v="2"/>
    <n v="15"/>
    <x v="2"/>
    <n v="9"/>
    <n v="2"/>
    <x v="0"/>
    <n v="7"/>
    <x v="1"/>
  </r>
  <r>
    <n v="141"/>
    <n v="28"/>
    <s v="Female"/>
    <x v="2"/>
    <x v="2"/>
    <n v="10"/>
    <x v="1"/>
    <n v="5"/>
    <n v="2"/>
    <x v="11"/>
    <n v="3"/>
    <x v="1"/>
  </r>
  <r>
    <n v="142"/>
    <n v="68"/>
    <s v="Female"/>
    <x v="0"/>
    <x v="0"/>
    <n v="4"/>
    <x v="2"/>
    <n v="7"/>
    <n v="3"/>
    <x v="57"/>
    <n v="4"/>
    <x v="0"/>
  </r>
  <r>
    <n v="143"/>
    <n v="34"/>
    <s v="Female"/>
    <x v="1"/>
    <x v="2"/>
    <n v="22"/>
    <x v="2"/>
    <n v="5"/>
    <n v="1"/>
    <x v="70"/>
    <n v="4"/>
    <x v="2"/>
  </r>
  <r>
    <n v="144"/>
    <n v="25"/>
    <s v="Female"/>
    <x v="2"/>
    <x v="1"/>
    <n v="3"/>
    <x v="2"/>
    <n v="6"/>
    <n v="2"/>
    <x v="78"/>
    <n v="4"/>
    <x v="0"/>
  </r>
  <r>
    <n v="145"/>
    <n v="52"/>
    <s v="Female"/>
    <x v="2"/>
    <x v="1"/>
    <n v="7"/>
    <x v="0"/>
    <n v="8"/>
    <n v="2"/>
    <x v="47"/>
    <n v="6"/>
    <x v="0"/>
  </r>
  <r>
    <n v="146"/>
    <n v="52"/>
    <s v="Male"/>
    <x v="2"/>
    <x v="2"/>
    <n v="11"/>
    <x v="0"/>
    <n v="6"/>
    <n v="4"/>
    <x v="79"/>
    <n v="2"/>
    <x v="1"/>
  </r>
  <r>
    <n v="147"/>
    <n v="50"/>
    <s v="Male"/>
    <x v="2"/>
    <x v="2"/>
    <n v="19"/>
    <x v="1"/>
    <n v="5"/>
    <n v="4"/>
    <x v="57"/>
    <n v="1"/>
    <x v="2"/>
  </r>
  <r>
    <n v="148"/>
    <n v="76"/>
    <s v="Female"/>
    <x v="2"/>
    <x v="3"/>
    <n v="11"/>
    <x v="1"/>
    <n v="5"/>
    <n v="5"/>
    <x v="28"/>
    <n v="0"/>
    <x v="1"/>
  </r>
  <r>
    <n v="149"/>
    <n v="22"/>
    <s v="Female"/>
    <x v="3"/>
    <x v="1"/>
    <n v="13"/>
    <x v="0"/>
    <n v="9"/>
    <n v="0"/>
    <x v="58"/>
    <n v="9"/>
    <x v="1"/>
  </r>
  <r>
    <n v="150"/>
    <n v="59"/>
    <s v="Male"/>
    <x v="1"/>
    <x v="0"/>
    <n v="17"/>
    <x v="1"/>
    <n v="7"/>
    <n v="3"/>
    <x v="45"/>
    <n v="4"/>
    <x v="2"/>
  </r>
  <r>
    <n v="151"/>
    <n v="56"/>
    <s v="Male"/>
    <x v="3"/>
    <x v="3"/>
    <n v="8"/>
    <x v="0"/>
    <n v="7"/>
    <n v="0"/>
    <x v="10"/>
    <n v="7"/>
    <x v="0"/>
  </r>
  <r>
    <n v="152"/>
    <n v="75"/>
    <s v="Female"/>
    <x v="0"/>
    <x v="2"/>
    <n v="5"/>
    <x v="2"/>
    <n v="6"/>
    <n v="5"/>
    <x v="30"/>
    <n v="1"/>
    <x v="0"/>
  </r>
  <r>
    <n v="153"/>
    <n v="58"/>
    <s v="Male"/>
    <x v="2"/>
    <x v="2"/>
    <n v="19"/>
    <x v="1"/>
    <n v="8"/>
    <n v="4"/>
    <x v="12"/>
    <n v="4"/>
    <x v="2"/>
  </r>
  <r>
    <n v="154"/>
    <n v="45"/>
    <s v="Female"/>
    <x v="1"/>
    <x v="1"/>
    <n v="7"/>
    <x v="1"/>
    <n v="7"/>
    <n v="1"/>
    <x v="66"/>
    <n v="6"/>
    <x v="0"/>
  </r>
  <r>
    <n v="155"/>
    <n v="24"/>
    <s v="Male"/>
    <x v="2"/>
    <x v="2"/>
    <n v="14"/>
    <x v="0"/>
    <n v="9"/>
    <n v="4"/>
    <x v="28"/>
    <n v="5"/>
    <x v="1"/>
  </r>
  <r>
    <n v="156"/>
    <n v="26"/>
    <s v="Female"/>
    <x v="1"/>
    <x v="0"/>
    <n v="20"/>
    <x v="1"/>
    <n v="6"/>
    <n v="3"/>
    <x v="80"/>
    <n v="3"/>
    <x v="2"/>
  </r>
  <r>
    <n v="157"/>
    <n v="25"/>
    <s v="Male"/>
    <x v="3"/>
    <x v="1"/>
    <n v="16"/>
    <x v="1"/>
    <n v="6"/>
    <n v="4"/>
    <x v="49"/>
    <n v="2"/>
    <x v="1"/>
  </r>
  <r>
    <n v="158"/>
    <n v="29"/>
    <s v="Female"/>
    <x v="1"/>
    <x v="2"/>
    <n v="23"/>
    <x v="2"/>
    <n v="9"/>
    <n v="3"/>
    <x v="81"/>
    <n v="6"/>
    <x v="2"/>
  </r>
  <r>
    <n v="159"/>
    <n v="51"/>
    <s v="Male"/>
    <x v="0"/>
    <x v="1"/>
    <n v="13"/>
    <x v="1"/>
    <n v="8"/>
    <n v="3"/>
    <x v="6"/>
    <n v="5"/>
    <x v="1"/>
  </r>
  <r>
    <n v="160"/>
    <n v="50"/>
    <s v="Male"/>
    <x v="0"/>
    <x v="2"/>
    <n v="11"/>
    <x v="2"/>
    <n v="9"/>
    <n v="3"/>
    <x v="69"/>
    <n v="6"/>
    <x v="1"/>
  </r>
  <r>
    <n v="161"/>
    <n v="65"/>
    <s v="Female"/>
    <x v="1"/>
    <x v="2"/>
    <n v="4"/>
    <x v="0"/>
    <n v="8"/>
    <n v="5"/>
    <x v="62"/>
    <n v="3"/>
    <x v="0"/>
  </r>
  <r>
    <n v="162"/>
    <n v="72"/>
    <s v="Male"/>
    <x v="1"/>
    <x v="2"/>
    <n v="14"/>
    <x v="1"/>
    <n v="9"/>
    <n v="3"/>
    <x v="3"/>
    <n v="6"/>
    <x v="1"/>
  </r>
  <r>
    <n v="163"/>
    <n v="40"/>
    <s v="Female"/>
    <x v="1"/>
    <x v="0"/>
    <n v="5"/>
    <x v="2"/>
    <n v="9"/>
    <n v="3"/>
    <x v="82"/>
    <n v="6"/>
    <x v="0"/>
  </r>
  <r>
    <n v="164"/>
    <n v="79"/>
    <s v="Male"/>
    <x v="1"/>
    <x v="0"/>
    <n v="5"/>
    <x v="0"/>
    <n v="5"/>
    <n v="1"/>
    <x v="2"/>
    <n v="4"/>
    <x v="0"/>
  </r>
  <r>
    <n v="165"/>
    <n v="41"/>
    <s v="Female"/>
    <x v="0"/>
    <x v="1"/>
    <n v="3"/>
    <x v="1"/>
    <n v="6"/>
    <n v="0"/>
    <x v="78"/>
    <n v="6"/>
    <x v="0"/>
  </r>
  <r>
    <n v="166"/>
    <n v="54"/>
    <s v="Male"/>
    <x v="2"/>
    <x v="2"/>
    <n v="10"/>
    <x v="0"/>
    <n v="9"/>
    <n v="2"/>
    <x v="18"/>
    <n v="7"/>
    <x v="1"/>
  </r>
  <r>
    <n v="167"/>
    <n v="52"/>
    <s v="Female"/>
    <x v="1"/>
    <x v="2"/>
    <n v="24"/>
    <x v="1"/>
    <n v="9"/>
    <n v="0"/>
    <x v="83"/>
    <n v="9"/>
    <x v="2"/>
  </r>
  <r>
    <n v="168"/>
    <n v="61"/>
    <s v="Male"/>
    <x v="1"/>
    <x v="0"/>
    <n v="10"/>
    <x v="0"/>
    <n v="7"/>
    <n v="3"/>
    <x v="84"/>
    <n v="4"/>
    <x v="1"/>
  </r>
  <r>
    <n v="169"/>
    <n v="57"/>
    <s v="Female"/>
    <x v="0"/>
    <x v="2"/>
    <n v="13"/>
    <x v="0"/>
    <n v="6"/>
    <n v="1"/>
    <x v="61"/>
    <n v="5"/>
    <x v="1"/>
  </r>
  <r>
    <n v="170"/>
    <n v="39"/>
    <s v="Male"/>
    <x v="0"/>
    <x v="0"/>
    <n v="11"/>
    <x v="2"/>
    <n v="7"/>
    <n v="4"/>
    <x v="46"/>
    <n v="3"/>
    <x v="1"/>
  </r>
  <r>
    <n v="171"/>
    <n v="44"/>
    <s v="Female"/>
    <x v="3"/>
    <x v="2"/>
    <n v="7"/>
    <x v="0"/>
    <n v="6"/>
    <n v="1"/>
    <x v="50"/>
    <n v="5"/>
    <x v="0"/>
  </r>
  <r>
    <n v="172"/>
    <n v="52"/>
    <s v="Female"/>
    <x v="1"/>
    <x v="1"/>
    <n v="16"/>
    <x v="1"/>
    <n v="7"/>
    <n v="3"/>
    <x v="15"/>
    <n v="4"/>
    <x v="1"/>
  </r>
  <r>
    <n v="173"/>
    <n v="18"/>
    <s v="Female"/>
    <x v="3"/>
    <x v="2"/>
    <n v="5"/>
    <x v="1"/>
    <n v="9"/>
    <n v="1"/>
    <x v="26"/>
    <n v="8"/>
    <x v="0"/>
  </r>
  <r>
    <n v="174"/>
    <n v="52"/>
    <s v="Male"/>
    <x v="0"/>
    <x v="2"/>
    <n v="23"/>
    <x v="2"/>
    <n v="9"/>
    <n v="1"/>
    <x v="85"/>
    <n v="8"/>
    <x v="2"/>
  </r>
  <r>
    <n v="175"/>
    <n v="54"/>
    <s v="Female"/>
    <x v="0"/>
    <x v="3"/>
    <n v="7"/>
    <x v="1"/>
    <n v="5"/>
    <n v="3"/>
    <x v="47"/>
    <n v="2"/>
    <x v="0"/>
  </r>
  <r>
    <n v="176"/>
    <n v="64"/>
    <s v="Male"/>
    <x v="2"/>
    <x v="0"/>
    <n v="7"/>
    <x v="1"/>
    <n v="7"/>
    <n v="5"/>
    <x v="86"/>
    <n v="2"/>
    <x v="0"/>
  </r>
  <r>
    <n v="177"/>
    <n v="31"/>
    <s v="Female"/>
    <x v="1"/>
    <x v="2"/>
    <n v="21"/>
    <x v="1"/>
    <n v="8"/>
    <n v="1"/>
    <x v="87"/>
    <n v="7"/>
    <x v="2"/>
  </r>
  <r>
    <n v="178"/>
    <n v="20"/>
    <s v="Male"/>
    <x v="3"/>
    <x v="2"/>
    <n v="16"/>
    <x v="0"/>
    <n v="5"/>
    <n v="2"/>
    <x v="76"/>
    <n v="3"/>
    <x v="1"/>
  </r>
  <r>
    <n v="179"/>
    <n v="18"/>
    <s v="Female"/>
    <x v="0"/>
    <x v="3"/>
    <n v="6"/>
    <x v="0"/>
    <n v="7"/>
    <n v="2"/>
    <x v="17"/>
    <n v="5"/>
    <x v="0"/>
  </r>
  <r>
    <n v="180"/>
    <n v="22"/>
    <s v="Male"/>
    <x v="0"/>
    <x v="3"/>
    <n v="15"/>
    <x v="1"/>
    <n v="7"/>
    <n v="1"/>
    <x v="88"/>
    <n v="6"/>
    <x v="1"/>
  </r>
  <r>
    <n v="181"/>
    <n v="43"/>
    <s v="Male"/>
    <x v="3"/>
    <x v="0"/>
    <n v="12"/>
    <x v="2"/>
    <n v="5"/>
    <n v="5"/>
    <x v="45"/>
    <n v="0"/>
    <x v="1"/>
  </r>
  <r>
    <n v="182"/>
    <n v="72"/>
    <s v="Female"/>
    <x v="2"/>
    <x v="3"/>
    <n v="20"/>
    <x v="0"/>
    <n v="9"/>
    <n v="4"/>
    <x v="31"/>
    <n v="5"/>
    <x v="2"/>
  </r>
  <r>
    <n v="183"/>
    <n v="31"/>
    <s v="Male"/>
    <x v="0"/>
    <x v="1"/>
    <n v="10"/>
    <x v="2"/>
    <n v="7"/>
    <n v="3"/>
    <x v="56"/>
    <n v="4"/>
    <x v="1"/>
  </r>
  <r>
    <n v="184"/>
    <n v="56"/>
    <s v="Male"/>
    <x v="1"/>
    <x v="3"/>
    <n v="10"/>
    <x v="1"/>
    <n v="9"/>
    <n v="2"/>
    <x v="42"/>
    <n v="7"/>
    <x v="1"/>
  </r>
  <r>
    <n v="185"/>
    <n v="44"/>
    <s v="Female"/>
    <x v="0"/>
    <x v="1"/>
    <n v="9"/>
    <x v="1"/>
    <n v="5"/>
    <n v="4"/>
    <x v="89"/>
    <n v="1"/>
    <x v="1"/>
  </r>
  <r>
    <n v="186"/>
    <n v="26"/>
    <s v="Male"/>
    <x v="1"/>
    <x v="0"/>
    <n v="10"/>
    <x v="0"/>
    <n v="9"/>
    <n v="1"/>
    <x v="90"/>
    <n v="8"/>
    <x v="1"/>
  </r>
  <r>
    <n v="187"/>
    <n v="32"/>
    <s v="Male"/>
    <x v="3"/>
    <x v="0"/>
    <n v="16"/>
    <x v="1"/>
    <n v="6"/>
    <n v="4"/>
    <x v="91"/>
    <n v="2"/>
    <x v="1"/>
  </r>
  <r>
    <n v="188"/>
    <n v="32"/>
    <s v="Male"/>
    <x v="1"/>
    <x v="0"/>
    <n v="21"/>
    <x v="0"/>
    <n v="8"/>
    <n v="0"/>
    <x v="90"/>
    <n v="8"/>
    <x v="2"/>
  </r>
  <r>
    <n v="189"/>
    <n v="43"/>
    <s v="Female"/>
    <x v="3"/>
    <x v="0"/>
    <n v="8"/>
    <x v="1"/>
    <n v="7"/>
    <n v="2"/>
    <x v="89"/>
    <n v="5"/>
    <x v="0"/>
  </r>
  <r>
    <n v="190"/>
    <n v="59"/>
    <s v="Male"/>
    <x v="1"/>
    <x v="0"/>
    <n v="3"/>
    <x v="1"/>
    <n v="8"/>
    <n v="1"/>
    <x v="78"/>
    <n v="7"/>
    <x v="0"/>
  </r>
  <r>
    <n v="191"/>
    <n v="77"/>
    <s v="Female"/>
    <x v="3"/>
    <x v="1"/>
    <n v="17"/>
    <x v="0"/>
    <n v="9"/>
    <n v="3"/>
    <x v="92"/>
    <n v="6"/>
    <x v="2"/>
  </r>
  <r>
    <n v="192"/>
    <n v="30"/>
    <s v="Male"/>
    <x v="1"/>
    <x v="1"/>
    <n v="3"/>
    <x v="0"/>
    <n v="7"/>
    <n v="5"/>
    <x v="28"/>
    <n v="2"/>
    <x v="0"/>
  </r>
  <r>
    <n v="193"/>
    <n v="68"/>
    <s v="Male"/>
    <x v="2"/>
    <x v="0"/>
    <n v="19"/>
    <x v="0"/>
    <n v="9"/>
    <n v="1"/>
    <x v="86"/>
    <n v="8"/>
    <x v="2"/>
  </r>
  <r>
    <n v="194"/>
    <n v="49"/>
    <s v="Male"/>
    <x v="1"/>
    <x v="3"/>
    <n v="3"/>
    <x v="1"/>
    <n v="6"/>
    <n v="3"/>
    <x v="55"/>
    <n v="3"/>
    <x v="0"/>
  </r>
  <r>
    <n v="195"/>
    <n v="56"/>
    <s v="Female"/>
    <x v="1"/>
    <x v="2"/>
    <n v="17"/>
    <x v="1"/>
    <n v="5"/>
    <n v="5"/>
    <x v="5"/>
    <n v="0"/>
    <x v="2"/>
  </r>
  <r>
    <n v="196"/>
    <n v="66"/>
    <s v="Male"/>
    <x v="2"/>
    <x v="0"/>
    <n v="4"/>
    <x v="2"/>
    <n v="7"/>
    <n v="5"/>
    <x v="63"/>
    <n v="2"/>
    <x v="0"/>
  </r>
  <r>
    <n v="197"/>
    <n v="69"/>
    <s v="Male"/>
    <x v="0"/>
    <x v="3"/>
    <n v="16"/>
    <x v="0"/>
    <n v="6"/>
    <n v="1"/>
    <x v="93"/>
    <n v="5"/>
    <x v="1"/>
  </r>
  <r>
    <n v="198"/>
    <n v="78"/>
    <s v="Female"/>
    <x v="0"/>
    <x v="2"/>
    <n v="23"/>
    <x v="1"/>
    <n v="6"/>
    <n v="4"/>
    <x v="2"/>
    <n v="2"/>
    <x v="2"/>
  </r>
  <r>
    <n v="199"/>
    <n v="49"/>
    <s v="Male"/>
    <x v="1"/>
    <x v="0"/>
    <n v="10"/>
    <x v="1"/>
    <n v="7"/>
    <n v="4"/>
    <x v="11"/>
    <n v="3"/>
    <x v="1"/>
  </r>
  <r>
    <n v="200"/>
    <n v="21"/>
    <s v="Female"/>
    <x v="2"/>
    <x v="0"/>
    <n v="10"/>
    <x v="0"/>
    <n v="9"/>
    <n v="5"/>
    <x v="45"/>
    <n v="4"/>
    <x v="1"/>
  </r>
  <r>
    <n v="201"/>
    <n v="47"/>
    <s v="Female"/>
    <x v="1"/>
    <x v="1"/>
    <n v="21"/>
    <x v="2"/>
    <n v="6"/>
    <n v="4"/>
    <x v="94"/>
    <n v="2"/>
    <x v="2"/>
  </r>
  <r>
    <n v="202"/>
    <n v="54"/>
    <s v="Male"/>
    <x v="3"/>
    <x v="2"/>
    <n v="9"/>
    <x v="0"/>
    <n v="8"/>
    <n v="0"/>
    <x v="58"/>
    <n v="8"/>
    <x v="1"/>
  </r>
  <r>
    <n v="203"/>
    <n v="40"/>
    <s v="Female"/>
    <x v="3"/>
    <x v="2"/>
    <n v="21"/>
    <x v="2"/>
    <n v="6"/>
    <n v="5"/>
    <x v="10"/>
    <n v="1"/>
    <x v="2"/>
  </r>
  <r>
    <n v="204"/>
    <n v="56"/>
    <s v="Male"/>
    <x v="1"/>
    <x v="3"/>
    <n v="8"/>
    <x v="1"/>
    <n v="9"/>
    <n v="5"/>
    <x v="38"/>
    <n v="4"/>
    <x v="0"/>
  </r>
  <r>
    <n v="205"/>
    <n v="62"/>
    <s v="Female"/>
    <x v="0"/>
    <x v="1"/>
    <n v="8"/>
    <x v="2"/>
    <n v="9"/>
    <n v="3"/>
    <x v="67"/>
    <n v="6"/>
    <x v="0"/>
  </r>
  <r>
    <n v="206"/>
    <n v="32"/>
    <s v="Female"/>
    <x v="0"/>
    <x v="1"/>
    <n v="5"/>
    <x v="1"/>
    <n v="8"/>
    <n v="4"/>
    <x v="21"/>
    <n v="4"/>
    <x v="0"/>
  </r>
  <r>
    <n v="207"/>
    <n v="60"/>
    <s v="Male"/>
    <x v="1"/>
    <x v="1"/>
    <n v="9"/>
    <x v="0"/>
    <n v="6"/>
    <n v="5"/>
    <x v="67"/>
    <n v="1"/>
    <x v="1"/>
  </r>
  <r>
    <n v="208"/>
    <n v="46"/>
    <s v="Female"/>
    <x v="1"/>
    <x v="1"/>
    <n v="21"/>
    <x v="0"/>
    <n v="9"/>
    <n v="0"/>
    <x v="57"/>
    <n v="9"/>
    <x v="2"/>
  </r>
  <r>
    <n v="209"/>
    <n v="53"/>
    <s v="Female"/>
    <x v="3"/>
    <x v="2"/>
    <n v="10"/>
    <x v="0"/>
    <n v="7"/>
    <n v="3"/>
    <x v="95"/>
    <n v="4"/>
    <x v="1"/>
  </r>
  <r>
    <n v="210"/>
    <n v="30"/>
    <s v="Female"/>
    <x v="0"/>
    <x v="2"/>
    <n v="12"/>
    <x v="2"/>
    <n v="5"/>
    <n v="1"/>
    <x v="54"/>
    <n v="4"/>
    <x v="1"/>
  </r>
  <r>
    <n v="211"/>
    <n v="49"/>
    <s v="Female"/>
    <x v="1"/>
    <x v="0"/>
    <n v="22"/>
    <x v="1"/>
    <n v="5"/>
    <n v="5"/>
    <x v="90"/>
    <n v="0"/>
    <x v="2"/>
  </r>
  <r>
    <n v="212"/>
    <n v="24"/>
    <s v="Female"/>
    <x v="3"/>
    <x v="0"/>
    <n v="17"/>
    <x v="0"/>
    <n v="5"/>
    <n v="0"/>
    <x v="25"/>
    <n v="5"/>
    <x v="2"/>
  </r>
  <r>
    <n v="213"/>
    <n v="76"/>
    <s v="Male"/>
    <x v="0"/>
    <x v="1"/>
    <n v="17"/>
    <x v="0"/>
    <n v="6"/>
    <n v="2"/>
    <x v="96"/>
    <n v="4"/>
    <x v="2"/>
  </r>
  <r>
    <n v="214"/>
    <n v="68"/>
    <s v="Female"/>
    <x v="2"/>
    <x v="1"/>
    <n v="3"/>
    <x v="1"/>
    <n v="8"/>
    <n v="0"/>
    <x v="0"/>
    <n v="8"/>
    <x v="0"/>
  </r>
  <r>
    <n v="215"/>
    <n v="39"/>
    <s v="Male"/>
    <x v="3"/>
    <x v="1"/>
    <n v="22"/>
    <x v="0"/>
    <n v="9"/>
    <n v="0"/>
    <x v="61"/>
    <n v="9"/>
    <x v="2"/>
  </r>
  <r>
    <n v="216"/>
    <n v="45"/>
    <s v="Female"/>
    <x v="0"/>
    <x v="0"/>
    <n v="9"/>
    <x v="1"/>
    <n v="7"/>
    <n v="3"/>
    <x v="21"/>
    <n v="4"/>
    <x v="1"/>
  </r>
  <r>
    <n v="217"/>
    <n v="19"/>
    <s v="Male"/>
    <x v="0"/>
    <x v="3"/>
    <n v="6"/>
    <x v="1"/>
    <n v="7"/>
    <n v="1"/>
    <x v="24"/>
    <n v="6"/>
    <x v="0"/>
  </r>
  <r>
    <n v="218"/>
    <n v="59"/>
    <s v="Male"/>
    <x v="3"/>
    <x v="3"/>
    <n v="8"/>
    <x v="1"/>
    <n v="6"/>
    <n v="2"/>
    <x v="72"/>
    <n v="4"/>
    <x v="0"/>
  </r>
  <r>
    <n v="219"/>
    <n v="62"/>
    <s v="Female"/>
    <x v="2"/>
    <x v="0"/>
    <n v="3"/>
    <x v="1"/>
    <n v="5"/>
    <n v="4"/>
    <x v="28"/>
    <n v="1"/>
    <x v="0"/>
  </r>
  <r>
    <n v="220"/>
    <n v="79"/>
    <s v="Female"/>
    <x v="3"/>
    <x v="0"/>
    <n v="7"/>
    <x v="1"/>
    <n v="6"/>
    <n v="4"/>
    <x v="1"/>
    <n v="2"/>
    <x v="0"/>
  </r>
  <r>
    <n v="221"/>
    <n v="74"/>
    <s v="Female"/>
    <x v="0"/>
    <x v="0"/>
    <n v="3"/>
    <x v="2"/>
    <n v="8"/>
    <n v="0"/>
    <x v="96"/>
    <n v="8"/>
    <x v="0"/>
  </r>
  <r>
    <n v="222"/>
    <n v="70"/>
    <s v="Male"/>
    <x v="1"/>
    <x v="0"/>
    <n v="6"/>
    <x v="0"/>
    <n v="8"/>
    <n v="3"/>
    <x v="30"/>
    <n v="5"/>
    <x v="0"/>
  </r>
  <r>
    <n v="223"/>
    <n v="23"/>
    <s v="Female"/>
    <x v="1"/>
    <x v="0"/>
    <n v="24"/>
    <x v="2"/>
    <n v="9"/>
    <n v="3"/>
    <x v="74"/>
    <n v="6"/>
    <x v="2"/>
  </r>
  <r>
    <n v="224"/>
    <n v="45"/>
    <s v="Male"/>
    <x v="3"/>
    <x v="0"/>
    <n v="4"/>
    <x v="0"/>
    <n v="9"/>
    <n v="4"/>
    <x v="59"/>
    <n v="5"/>
    <x v="0"/>
  </r>
  <r>
    <n v="225"/>
    <n v="45"/>
    <s v="Male"/>
    <x v="0"/>
    <x v="1"/>
    <n v="12"/>
    <x v="2"/>
    <n v="8"/>
    <n v="2"/>
    <x v="88"/>
    <n v="6"/>
    <x v="1"/>
  </r>
  <r>
    <n v="226"/>
    <n v="61"/>
    <s v="Male"/>
    <x v="1"/>
    <x v="1"/>
    <n v="7"/>
    <x v="1"/>
    <n v="8"/>
    <n v="1"/>
    <x v="17"/>
    <n v="7"/>
    <x v="0"/>
  </r>
  <r>
    <n v="227"/>
    <n v="61"/>
    <s v="Female"/>
    <x v="0"/>
    <x v="1"/>
    <n v="12"/>
    <x v="0"/>
    <n v="8"/>
    <n v="2"/>
    <x v="26"/>
    <n v="6"/>
    <x v="1"/>
  </r>
  <r>
    <n v="228"/>
    <n v="37"/>
    <s v="Female"/>
    <x v="3"/>
    <x v="1"/>
    <n v="3"/>
    <x v="0"/>
    <n v="6"/>
    <n v="5"/>
    <x v="83"/>
    <n v="1"/>
    <x v="0"/>
  </r>
  <r>
    <n v="229"/>
    <n v="47"/>
    <s v="Male"/>
    <x v="1"/>
    <x v="0"/>
    <n v="24"/>
    <x v="2"/>
    <n v="8"/>
    <n v="5"/>
    <x v="30"/>
    <n v="3"/>
    <x v="2"/>
  </r>
  <r>
    <n v="230"/>
    <n v="79"/>
    <s v="Male"/>
    <x v="0"/>
    <x v="3"/>
    <n v="8"/>
    <x v="2"/>
    <n v="7"/>
    <n v="1"/>
    <x v="78"/>
    <n v="6"/>
    <x v="0"/>
  </r>
  <r>
    <n v="231"/>
    <n v="28"/>
    <s v="Female"/>
    <x v="1"/>
    <x v="2"/>
    <n v="15"/>
    <x v="0"/>
    <n v="5"/>
    <n v="4"/>
    <x v="17"/>
    <n v="1"/>
    <x v="1"/>
  </r>
  <r>
    <n v="232"/>
    <n v="75"/>
    <s v="Male"/>
    <x v="3"/>
    <x v="0"/>
    <n v="17"/>
    <x v="2"/>
    <n v="8"/>
    <n v="1"/>
    <x v="97"/>
    <n v="7"/>
    <x v="2"/>
  </r>
  <r>
    <n v="233"/>
    <n v="72"/>
    <s v="Female"/>
    <x v="0"/>
    <x v="2"/>
    <n v="6"/>
    <x v="2"/>
    <n v="5"/>
    <n v="3"/>
    <x v="14"/>
    <n v="2"/>
    <x v="0"/>
  </r>
  <r>
    <n v="234"/>
    <n v="45"/>
    <s v="Male"/>
    <x v="1"/>
    <x v="3"/>
    <n v="15"/>
    <x v="2"/>
    <n v="6"/>
    <n v="5"/>
    <x v="35"/>
    <n v="1"/>
    <x v="1"/>
  </r>
  <r>
    <n v="235"/>
    <n v="42"/>
    <s v="Female"/>
    <x v="3"/>
    <x v="1"/>
    <n v="22"/>
    <x v="1"/>
    <n v="5"/>
    <n v="0"/>
    <x v="11"/>
    <n v="5"/>
    <x v="2"/>
  </r>
  <r>
    <n v="236"/>
    <n v="56"/>
    <s v="Male"/>
    <x v="1"/>
    <x v="3"/>
    <n v="17"/>
    <x v="1"/>
    <n v="6"/>
    <n v="0"/>
    <x v="61"/>
    <n v="6"/>
    <x v="2"/>
  </r>
  <r>
    <n v="237"/>
    <n v="79"/>
    <s v="Female"/>
    <x v="1"/>
    <x v="0"/>
    <n v="10"/>
    <x v="2"/>
    <n v="7"/>
    <n v="4"/>
    <x v="65"/>
    <n v="3"/>
    <x v="1"/>
  </r>
  <r>
    <n v="238"/>
    <n v="50"/>
    <s v="Male"/>
    <x v="2"/>
    <x v="1"/>
    <n v="7"/>
    <x v="2"/>
    <n v="6"/>
    <n v="3"/>
    <x v="76"/>
    <n v="3"/>
    <x v="0"/>
  </r>
  <r>
    <n v="239"/>
    <n v="18"/>
    <s v="Female"/>
    <x v="2"/>
    <x v="0"/>
    <n v="17"/>
    <x v="1"/>
    <n v="6"/>
    <n v="2"/>
    <x v="48"/>
    <n v="4"/>
    <x v="2"/>
  </r>
  <r>
    <n v="240"/>
    <n v="74"/>
    <s v="Female"/>
    <x v="3"/>
    <x v="1"/>
    <n v="6"/>
    <x v="1"/>
    <n v="9"/>
    <n v="3"/>
    <x v="29"/>
    <n v="6"/>
    <x v="0"/>
  </r>
  <r>
    <n v="241"/>
    <n v="44"/>
    <s v="Male"/>
    <x v="2"/>
    <x v="2"/>
    <n v="14"/>
    <x v="0"/>
    <n v="8"/>
    <n v="0"/>
    <x v="58"/>
    <n v="8"/>
    <x v="1"/>
  </r>
  <r>
    <n v="242"/>
    <n v="79"/>
    <s v="Male"/>
    <x v="3"/>
    <x v="2"/>
    <n v="15"/>
    <x v="0"/>
    <n v="8"/>
    <n v="0"/>
    <x v="98"/>
    <n v="8"/>
    <x v="1"/>
  </r>
  <r>
    <n v="243"/>
    <n v="74"/>
    <s v="Female"/>
    <x v="2"/>
    <x v="2"/>
    <n v="4"/>
    <x v="1"/>
    <n v="7"/>
    <n v="5"/>
    <x v="94"/>
    <n v="2"/>
    <x v="0"/>
  </r>
  <r>
    <n v="244"/>
    <n v="69"/>
    <s v="Male"/>
    <x v="1"/>
    <x v="3"/>
    <n v="21"/>
    <x v="2"/>
    <n v="7"/>
    <n v="3"/>
    <x v="34"/>
    <n v="4"/>
    <x v="2"/>
  </r>
  <r>
    <n v="245"/>
    <n v="30"/>
    <s v="Female"/>
    <x v="3"/>
    <x v="0"/>
    <n v="21"/>
    <x v="2"/>
    <n v="8"/>
    <n v="3"/>
    <x v="72"/>
    <n v="5"/>
    <x v="2"/>
  </r>
  <r>
    <n v="246"/>
    <n v="58"/>
    <s v="Male"/>
    <x v="3"/>
    <x v="3"/>
    <n v="6"/>
    <x v="2"/>
    <n v="9"/>
    <n v="0"/>
    <x v="57"/>
    <n v="9"/>
    <x v="0"/>
  </r>
  <r>
    <n v="247"/>
    <n v="20"/>
    <s v="Female"/>
    <x v="1"/>
    <x v="2"/>
    <n v="6"/>
    <x v="2"/>
    <n v="8"/>
    <n v="2"/>
    <x v="62"/>
    <n v="6"/>
    <x v="0"/>
  </r>
  <r>
    <n v="248"/>
    <n v="56"/>
    <s v="Female"/>
    <x v="3"/>
    <x v="0"/>
    <n v="13"/>
    <x v="0"/>
    <n v="9"/>
    <n v="4"/>
    <x v="38"/>
    <n v="5"/>
    <x v="1"/>
  </r>
  <r>
    <n v="249"/>
    <n v="23"/>
    <s v="Female"/>
    <x v="3"/>
    <x v="2"/>
    <n v="7"/>
    <x v="1"/>
    <n v="7"/>
    <n v="4"/>
    <x v="56"/>
    <n v="3"/>
    <x v="0"/>
  </r>
  <r>
    <n v="250"/>
    <n v="25"/>
    <s v="Female"/>
    <x v="2"/>
    <x v="3"/>
    <n v="22"/>
    <x v="2"/>
    <n v="5"/>
    <n v="3"/>
    <x v="99"/>
    <n v="2"/>
    <x v="2"/>
  </r>
  <r>
    <n v="251"/>
    <n v="44"/>
    <s v="Female"/>
    <x v="3"/>
    <x v="3"/>
    <n v="13"/>
    <x v="0"/>
    <n v="7"/>
    <n v="4"/>
    <x v="64"/>
    <n v="3"/>
    <x v="1"/>
  </r>
  <r>
    <n v="252"/>
    <n v="26"/>
    <s v="Female"/>
    <x v="0"/>
    <x v="3"/>
    <n v="12"/>
    <x v="2"/>
    <n v="7"/>
    <n v="0"/>
    <x v="95"/>
    <n v="7"/>
    <x v="1"/>
  </r>
  <r>
    <n v="253"/>
    <n v="79"/>
    <s v="Male"/>
    <x v="1"/>
    <x v="2"/>
    <n v="10"/>
    <x v="1"/>
    <n v="6"/>
    <n v="0"/>
    <x v="43"/>
    <n v="6"/>
    <x v="1"/>
  </r>
  <r>
    <n v="254"/>
    <n v="54"/>
    <s v="Male"/>
    <x v="2"/>
    <x v="0"/>
    <n v="8"/>
    <x v="0"/>
    <n v="6"/>
    <n v="3"/>
    <x v="66"/>
    <n v="3"/>
    <x v="0"/>
  </r>
  <r>
    <n v="255"/>
    <n v="50"/>
    <s v="Male"/>
    <x v="2"/>
    <x v="0"/>
    <n v="8"/>
    <x v="1"/>
    <n v="6"/>
    <n v="3"/>
    <x v="46"/>
    <n v="3"/>
    <x v="0"/>
  </r>
  <r>
    <n v="256"/>
    <n v="68"/>
    <s v="Female"/>
    <x v="0"/>
    <x v="2"/>
    <n v="10"/>
    <x v="1"/>
    <n v="6"/>
    <n v="5"/>
    <x v="100"/>
    <n v="1"/>
    <x v="1"/>
  </r>
  <r>
    <n v="257"/>
    <n v="59"/>
    <s v="Female"/>
    <x v="1"/>
    <x v="0"/>
    <n v="17"/>
    <x v="0"/>
    <n v="9"/>
    <n v="3"/>
    <x v="70"/>
    <n v="6"/>
    <x v="2"/>
  </r>
  <r>
    <n v="258"/>
    <n v="61"/>
    <s v="Female"/>
    <x v="1"/>
    <x v="2"/>
    <n v="16"/>
    <x v="0"/>
    <n v="8"/>
    <n v="2"/>
    <x v="84"/>
    <n v="6"/>
    <x v="1"/>
  </r>
  <r>
    <n v="259"/>
    <n v="41"/>
    <s v="Female"/>
    <x v="2"/>
    <x v="0"/>
    <n v="13"/>
    <x v="0"/>
    <n v="5"/>
    <n v="4"/>
    <x v="40"/>
    <n v="1"/>
    <x v="1"/>
  </r>
  <r>
    <n v="260"/>
    <n v="32"/>
    <s v="Male"/>
    <x v="3"/>
    <x v="1"/>
    <n v="14"/>
    <x v="0"/>
    <n v="7"/>
    <n v="3"/>
    <x v="62"/>
    <n v="4"/>
    <x v="1"/>
  </r>
  <r>
    <n v="261"/>
    <n v="76"/>
    <s v="Male"/>
    <x v="2"/>
    <x v="1"/>
    <n v="15"/>
    <x v="0"/>
    <n v="9"/>
    <n v="1"/>
    <x v="86"/>
    <n v="8"/>
    <x v="1"/>
  </r>
  <r>
    <n v="262"/>
    <n v="71"/>
    <s v="Female"/>
    <x v="1"/>
    <x v="3"/>
    <n v="10"/>
    <x v="0"/>
    <n v="5"/>
    <n v="5"/>
    <x v="4"/>
    <n v="0"/>
    <x v="1"/>
  </r>
  <r>
    <n v="263"/>
    <n v="49"/>
    <s v="Male"/>
    <x v="0"/>
    <x v="1"/>
    <n v="20"/>
    <x v="0"/>
    <n v="9"/>
    <n v="1"/>
    <x v="83"/>
    <n v="8"/>
    <x v="2"/>
  </r>
  <r>
    <n v="264"/>
    <n v="49"/>
    <s v="Male"/>
    <x v="2"/>
    <x v="1"/>
    <n v="3"/>
    <x v="2"/>
    <n v="9"/>
    <n v="0"/>
    <x v="101"/>
    <n v="9"/>
    <x v="0"/>
  </r>
  <r>
    <n v="265"/>
    <n v="41"/>
    <s v="Female"/>
    <x v="1"/>
    <x v="1"/>
    <n v="17"/>
    <x v="1"/>
    <n v="7"/>
    <n v="4"/>
    <x v="90"/>
    <n v="3"/>
    <x v="2"/>
  </r>
  <r>
    <n v="266"/>
    <n v="58"/>
    <s v="Male"/>
    <x v="2"/>
    <x v="2"/>
    <n v="10"/>
    <x v="0"/>
    <n v="8"/>
    <n v="3"/>
    <x v="88"/>
    <n v="5"/>
    <x v="1"/>
  </r>
  <r>
    <n v="267"/>
    <n v="69"/>
    <s v="Female"/>
    <x v="3"/>
    <x v="1"/>
    <n v="13"/>
    <x v="2"/>
    <n v="6"/>
    <n v="1"/>
    <x v="44"/>
    <n v="5"/>
    <x v="1"/>
  </r>
  <r>
    <n v="268"/>
    <n v="66"/>
    <s v="Male"/>
    <x v="2"/>
    <x v="1"/>
    <n v="14"/>
    <x v="2"/>
    <n v="8"/>
    <n v="4"/>
    <x v="47"/>
    <n v="4"/>
    <x v="1"/>
  </r>
  <r>
    <n v="269"/>
    <n v="79"/>
    <s v="Female"/>
    <x v="2"/>
    <x v="3"/>
    <n v="14"/>
    <x v="2"/>
    <n v="7"/>
    <n v="0"/>
    <x v="102"/>
    <n v="7"/>
    <x v="1"/>
  </r>
  <r>
    <n v="270"/>
    <n v="66"/>
    <s v="Female"/>
    <x v="1"/>
    <x v="1"/>
    <n v="6"/>
    <x v="1"/>
    <n v="7"/>
    <n v="2"/>
    <x v="96"/>
    <n v="5"/>
    <x v="0"/>
  </r>
  <r>
    <n v="271"/>
    <n v="75"/>
    <s v="Female"/>
    <x v="1"/>
    <x v="1"/>
    <n v="18"/>
    <x v="0"/>
    <n v="7"/>
    <n v="5"/>
    <x v="59"/>
    <n v="2"/>
    <x v="2"/>
  </r>
  <r>
    <n v="272"/>
    <n v="69"/>
    <s v="Female"/>
    <x v="1"/>
    <x v="0"/>
    <n v="6"/>
    <x v="2"/>
    <n v="5"/>
    <n v="4"/>
    <x v="27"/>
    <n v="1"/>
    <x v="0"/>
  </r>
  <r>
    <n v="273"/>
    <n v="29"/>
    <s v="Male"/>
    <x v="2"/>
    <x v="3"/>
    <n v="7"/>
    <x v="1"/>
    <n v="8"/>
    <n v="4"/>
    <x v="30"/>
    <n v="4"/>
    <x v="0"/>
  </r>
  <r>
    <n v="274"/>
    <n v="79"/>
    <s v="Female"/>
    <x v="3"/>
    <x v="3"/>
    <n v="7"/>
    <x v="1"/>
    <n v="8"/>
    <n v="2"/>
    <x v="28"/>
    <n v="6"/>
    <x v="0"/>
  </r>
  <r>
    <n v="275"/>
    <n v="56"/>
    <s v="Female"/>
    <x v="0"/>
    <x v="3"/>
    <n v="10"/>
    <x v="1"/>
    <n v="9"/>
    <n v="4"/>
    <x v="15"/>
    <n v="5"/>
    <x v="1"/>
  </r>
  <r>
    <n v="276"/>
    <n v="19"/>
    <s v="Female"/>
    <x v="0"/>
    <x v="3"/>
    <n v="12"/>
    <x v="2"/>
    <n v="9"/>
    <n v="0"/>
    <x v="8"/>
    <n v="9"/>
    <x v="1"/>
  </r>
  <r>
    <n v="277"/>
    <n v="20"/>
    <s v="Male"/>
    <x v="1"/>
    <x v="3"/>
    <n v="19"/>
    <x v="0"/>
    <n v="9"/>
    <n v="0"/>
    <x v="90"/>
    <n v="9"/>
    <x v="2"/>
  </r>
  <r>
    <n v="278"/>
    <n v="66"/>
    <s v="Female"/>
    <x v="1"/>
    <x v="3"/>
    <n v="11"/>
    <x v="2"/>
    <n v="7"/>
    <n v="2"/>
    <x v="99"/>
    <n v="5"/>
    <x v="1"/>
  </r>
  <r>
    <n v="279"/>
    <n v="54"/>
    <s v="Male"/>
    <x v="2"/>
    <x v="2"/>
    <n v="24"/>
    <x v="2"/>
    <n v="8"/>
    <n v="5"/>
    <x v="88"/>
    <n v="3"/>
    <x v="2"/>
  </r>
  <r>
    <n v="280"/>
    <n v="66"/>
    <s v="Female"/>
    <x v="0"/>
    <x v="1"/>
    <n v="21"/>
    <x v="0"/>
    <n v="7"/>
    <n v="3"/>
    <x v="53"/>
    <n v="4"/>
    <x v="2"/>
  </r>
  <r>
    <n v="281"/>
    <n v="73"/>
    <s v="Male"/>
    <x v="1"/>
    <x v="3"/>
    <n v="16"/>
    <x v="0"/>
    <n v="5"/>
    <n v="1"/>
    <x v="49"/>
    <n v="4"/>
    <x v="1"/>
  </r>
  <r>
    <n v="282"/>
    <n v="34"/>
    <s v="Male"/>
    <x v="3"/>
    <x v="1"/>
    <n v="10"/>
    <x v="0"/>
    <n v="9"/>
    <n v="3"/>
    <x v="78"/>
    <n v="6"/>
    <x v="1"/>
  </r>
  <r>
    <n v="283"/>
    <n v="76"/>
    <s v="Female"/>
    <x v="3"/>
    <x v="1"/>
    <n v="11"/>
    <x v="1"/>
    <n v="7"/>
    <n v="4"/>
    <x v="22"/>
    <n v="3"/>
    <x v="1"/>
  </r>
  <r>
    <n v="284"/>
    <n v="66"/>
    <s v="Male"/>
    <x v="1"/>
    <x v="2"/>
    <n v="24"/>
    <x v="0"/>
    <n v="7"/>
    <n v="1"/>
    <x v="103"/>
    <n v="6"/>
    <x v="2"/>
  </r>
  <r>
    <n v="285"/>
    <n v="19"/>
    <s v="Female"/>
    <x v="1"/>
    <x v="3"/>
    <n v="13"/>
    <x v="2"/>
    <n v="5"/>
    <n v="2"/>
    <x v="97"/>
    <n v="3"/>
    <x v="1"/>
  </r>
  <r>
    <n v="286"/>
    <n v="19"/>
    <s v="Female"/>
    <x v="0"/>
    <x v="0"/>
    <n v="3"/>
    <x v="0"/>
    <n v="6"/>
    <n v="2"/>
    <x v="78"/>
    <n v="4"/>
    <x v="0"/>
  </r>
  <r>
    <n v="287"/>
    <n v="45"/>
    <s v="Female"/>
    <x v="0"/>
    <x v="2"/>
    <n v="16"/>
    <x v="2"/>
    <n v="8"/>
    <n v="5"/>
    <x v="68"/>
    <n v="3"/>
    <x v="1"/>
  </r>
  <r>
    <n v="288"/>
    <n v="71"/>
    <s v="Male"/>
    <x v="2"/>
    <x v="0"/>
    <n v="7"/>
    <x v="1"/>
    <n v="6"/>
    <n v="1"/>
    <x v="43"/>
    <n v="5"/>
    <x v="0"/>
  </r>
  <r>
    <n v="289"/>
    <n v="40"/>
    <s v="Male"/>
    <x v="0"/>
    <x v="1"/>
    <n v="23"/>
    <x v="2"/>
    <n v="9"/>
    <n v="0"/>
    <x v="3"/>
    <n v="9"/>
    <x v="2"/>
  </r>
  <r>
    <n v="290"/>
    <n v="54"/>
    <s v="Female"/>
    <x v="3"/>
    <x v="1"/>
    <n v="16"/>
    <x v="2"/>
    <n v="7"/>
    <n v="1"/>
    <x v="97"/>
    <n v="6"/>
    <x v="1"/>
  </r>
  <r>
    <n v="291"/>
    <n v="49"/>
    <s v="Female"/>
    <x v="3"/>
    <x v="2"/>
    <n v="6"/>
    <x v="0"/>
    <n v="5"/>
    <n v="4"/>
    <x v="41"/>
    <n v="1"/>
    <x v="0"/>
  </r>
  <r>
    <n v="292"/>
    <n v="50"/>
    <s v="Male"/>
    <x v="1"/>
    <x v="2"/>
    <n v="24"/>
    <x v="0"/>
    <n v="5"/>
    <n v="0"/>
    <x v="44"/>
    <n v="5"/>
    <x v="2"/>
  </r>
  <r>
    <n v="293"/>
    <n v="18"/>
    <s v="Female"/>
    <x v="0"/>
    <x v="0"/>
    <n v="3"/>
    <x v="2"/>
    <n v="8"/>
    <n v="2"/>
    <x v="102"/>
    <n v="6"/>
    <x v="0"/>
  </r>
  <r>
    <n v="294"/>
    <n v="36"/>
    <s v="Female"/>
    <x v="2"/>
    <x v="3"/>
    <n v="24"/>
    <x v="0"/>
    <n v="6"/>
    <n v="1"/>
    <x v="28"/>
    <n v="5"/>
    <x v="2"/>
  </r>
  <r>
    <n v="295"/>
    <n v="79"/>
    <s v="Female"/>
    <x v="3"/>
    <x v="0"/>
    <n v="21"/>
    <x v="1"/>
    <n v="8"/>
    <n v="3"/>
    <x v="45"/>
    <n v="5"/>
    <x v="2"/>
  </r>
  <r>
    <n v="296"/>
    <n v="19"/>
    <s v="Male"/>
    <x v="3"/>
    <x v="2"/>
    <n v="10"/>
    <x v="1"/>
    <n v="7"/>
    <n v="5"/>
    <x v="61"/>
    <n v="2"/>
    <x v="1"/>
  </r>
  <r>
    <n v="297"/>
    <n v="70"/>
    <s v="Male"/>
    <x v="2"/>
    <x v="0"/>
    <n v="17"/>
    <x v="0"/>
    <n v="8"/>
    <n v="3"/>
    <x v="59"/>
    <n v="5"/>
    <x v="2"/>
  </r>
  <r>
    <n v="298"/>
    <n v="61"/>
    <s v="Male"/>
    <x v="2"/>
    <x v="2"/>
    <n v="23"/>
    <x v="1"/>
    <n v="5"/>
    <n v="5"/>
    <x v="84"/>
    <n v="0"/>
    <x v="2"/>
  </r>
  <r>
    <n v="299"/>
    <n v="43"/>
    <s v="Female"/>
    <x v="3"/>
    <x v="0"/>
    <n v="17"/>
    <x v="0"/>
    <n v="5"/>
    <n v="4"/>
    <x v="59"/>
    <n v="1"/>
    <x v="2"/>
  </r>
  <r>
    <n v="300"/>
    <n v="49"/>
    <s v="Female"/>
    <x v="3"/>
    <x v="2"/>
    <n v="11"/>
    <x v="2"/>
    <n v="9"/>
    <n v="3"/>
    <x v="9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 chartFormat="6" rowHeaderCaption="Treatment Type">
  <location ref="A28:C32" firstHeaderRow="0" firstDataRow="1" firstDataCol="1"/>
  <pivotFields count="12"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verage of Recovery_Time_Days" fld="9" subtotal="average" baseField="0" baseItem="0"/>
    <dataField name="Average of Recovery_improvement" fld="10" subtotal="average" baseField="0" baseItem="0"/>
  </dataFields>
  <formats count="1">
    <format dxfId="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 rowHeaderCaption="Engagement Category">
  <location ref="A20:B23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11"/>
  </rowFields>
  <rowItems count="3">
    <i>
      <x/>
    </i>
    <i>
      <x v="1"/>
    </i>
    <i>
      <x v="2"/>
    </i>
  </rowItems>
  <colItems count="1">
    <i/>
  </colItems>
  <dataFields count="1">
    <dataField name="Average of Recovery_Time_Days" fld="9" subtotal="average" baseField="0" baseItem="0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 chartFormat="7" rowHeaderCaption="Condition">
  <location ref="A11:B15" firstHeaderRow="1" firstDataRow="1" firstDataCol="1"/>
  <pivotFields count="12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Recovery_Time_Days" fld="9" subtotal="average" baseField="0" baseItem="0" numFmtId="2"/>
  </dataFields>
  <formats count="1">
    <format dxfId="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 chartFormat="8" rowHeaderCaption="Compliance Level">
  <location ref="A3:B6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>
      <items count="105">
        <item x="5"/>
        <item x="84"/>
        <item x="68"/>
        <item x="50"/>
        <item x="9"/>
        <item x="86"/>
        <item x="3"/>
        <item x="67"/>
        <item x="95"/>
        <item x="64"/>
        <item x="71"/>
        <item x="45"/>
        <item x="32"/>
        <item x="57"/>
        <item x="82"/>
        <item x="20"/>
        <item x="83"/>
        <item x="30"/>
        <item x="58"/>
        <item x="94"/>
        <item x="51"/>
        <item x="96"/>
        <item x="70"/>
        <item x="21"/>
        <item x="81"/>
        <item x="69"/>
        <item x="6"/>
        <item x="18"/>
        <item x="31"/>
        <item x="99"/>
        <item x="29"/>
        <item x="12"/>
        <item x="62"/>
        <item x="78"/>
        <item x="72"/>
        <item x="88"/>
        <item x="44"/>
        <item x="90"/>
        <item x="16"/>
        <item x="63"/>
        <item x="93"/>
        <item x="27"/>
        <item x="11"/>
        <item x="34"/>
        <item x="61"/>
        <item x="1"/>
        <item x="79"/>
        <item x="80"/>
        <item x="33"/>
        <item x="55"/>
        <item x="14"/>
        <item x="89"/>
        <item x="100"/>
        <item x="59"/>
        <item x="91"/>
        <item x="37"/>
        <item x="42"/>
        <item x="40"/>
        <item x="13"/>
        <item x="39"/>
        <item x="101"/>
        <item x="28"/>
        <item x="35"/>
        <item x="41"/>
        <item x="56"/>
        <item x="25"/>
        <item x="43"/>
        <item x="17"/>
        <item x="47"/>
        <item x="23"/>
        <item x="46"/>
        <item x="66"/>
        <item x="73"/>
        <item x="0"/>
        <item x="98"/>
        <item x="19"/>
        <item x="52"/>
        <item x="92"/>
        <item x="4"/>
        <item x="10"/>
        <item x="75"/>
        <item x="54"/>
        <item x="26"/>
        <item x="15"/>
        <item x="24"/>
        <item x="38"/>
        <item x="60"/>
        <item x="85"/>
        <item x="87"/>
        <item x="7"/>
        <item x="97"/>
        <item x="48"/>
        <item x="65"/>
        <item x="74"/>
        <item x="103"/>
        <item x="8"/>
        <item x="102"/>
        <item x="22"/>
        <item x="36"/>
        <item x="2"/>
        <item x="77"/>
        <item x="76"/>
        <item x="53"/>
        <item x="49"/>
        <item t="default"/>
      </items>
    </pivotField>
    <pivotField showAll="0"/>
    <pivotField showAll="0"/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Average of Recovery_Time_Days" fld="9" subtotal="average" baseField="0" baseItem="0"/>
  </dataFields>
  <formats count="3">
    <format dxfId="5">
      <pivotArea collapsedLevelsAreSubtotals="1" fieldPosition="0">
        <references count="1">
          <reference field="6" count="1">
            <x v="0"/>
          </reference>
        </references>
      </pivotArea>
    </format>
    <format dxfId="4">
      <pivotArea collapsedLevelsAreSubtotals="1" fieldPosition="0">
        <references count="1">
          <reference field="6" count="2">
            <x v="1"/>
            <x v="2"/>
          </reference>
        </references>
      </pivotArea>
    </format>
    <format dxfId="3">
      <pivotArea grandRow="1"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workbookViewId="0">
      <selection activeCell="G6" sqref="G6"/>
    </sheetView>
  </sheetViews>
  <sheetFormatPr defaultRowHeight="14.4" x14ac:dyDescent="0.3"/>
  <cols>
    <col min="1" max="1" width="9.5546875" bestFit="1" customWidth="1"/>
    <col min="2" max="2" width="4" bestFit="1" customWidth="1"/>
    <col min="3" max="3" width="6.88671875" bestFit="1" customWidth="1"/>
    <col min="4" max="4" width="12.6640625" bestFit="1" customWidth="1"/>
    <col min="5" max="5" width="14.77734375" bestFit="1" customWidth="1"/>
    <col min="6" max="6" width="16.33203125" bestFit="1" customWidth="1"/>
    <col min="7" max="7" width="15.88671875" bestFit="1" customWidth="1"/>
    <col min="8" max="8" width="17.88671875" bestFit="1" customWidth="1"/>
    <col min="9" max="9" width="17.109375" bestFit="1" customWidth="1"/>
    <col min="10" max="10" width="20.88671875" bestFit="1" customWidth="1"/>
    <col min="11" max="11" width="20.6640625" bestFit="1" customWidth="1"/>
    <col min="12" max="12" width="19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</v>
      </c>
      <c r="L1" t="s">
        <v>24</v>
      </c>
    </row>
    <row r="2" spans="1:12" x14ac:dyDescent="0.3">
      <c r="A2">
        <v>1</v>
      </c>
      <c r="B2">
        <v>56</v>
      </c>
      <c r="C2" t="s">
        <v>10</v>
      </c>
      <c r="D2" t="s">
        <v>11</v>
      </c>
      <c r="E2" t="s">
        <v>12</v>
      </c>
      <c r="F2">
        <v>7</v>
      </c>
      <c r="G2" t="s">
        <v>13</v>
      </c>
      <c r="H2">
        <v>7</v>
      </c>
      <c r="I2">
        <v>4</v>
      </c>
      <c r="J2">
        <v>89</v>
      </c>
      <c r="K2">
        <f>H:H-I:I</f>
        <v>3</v>
      </c>
      <c r="L2" t="str">
        <f>IF(F:F&lt;=8, "Low", IF(F:F&gt;=17, "High", "Medium"))</f>
        <v>Low</v>
      </c>
    </row>
    <row r="3" spans="1:12" x14ac:dyDescent="0.3">
      <c r="A3">
        <v>2</v>
      </c>
      <c r="B3">
        <v>69</v>
      </c>
      <c r="C3" t="s">
        <v>10</v>
      </c>
      <c r="D3" t="s">
        <v>14</v>
      </c>
      <c r="E3" t="s">
        <v>15</v>
      </c>
      <c r="F3">
        <v>11</v>
      </c>
      <c r="G3" t="s">
        <v>13</v>
      </c>
      <c r="H3">
        <v>6</v>
      </c>
      <c r="I3">
        <v>2</v>
      </c>
      <c r="J3">
        <v>59</v>
      </c>
      <c r="K3">
        <f t="shared" ref="K3:K66" si="0">H:H-I:I</f>
        <v>4</v>
      </c>
      <c r="L3" t="str">
        <f t="shared" ref="L3:L66" si="1">IF(F:F&lt;=8, "Low", IF(F:F&gt;=17, "High", "Medium"))</f>
        <v>Medium</v>
      </c>
    </row>
    <row r="4" spans="1:12" x14ac:dyDescent="0.3">
      <c r="A4">
        <v>3</v>
      </c>
      <c r="B4">
        <v>46</v>
      </c>
      <c r="C4" t="s">
        <v>16</v>
      </c>
      <c r="D4" t="s">
        <v>17</v>
      </c>
      <c r="E4" t="s">
        <v>18</v>
      </c>
      <c r="F4">
        <v>14</v>
      </c>
      <c r="G4" t="s">
        <v>19</v>
      </c>
      <c r="H4">
        <v>5</v>
      </c>
      <c r="I4">
        <v>5</v>
      </c>
      <c r="J4">
        <v>115</v>
      </c>
      <c r="K4">
        <f t="shared" si="0"/>
        <v>0</v>
      </c>
      <c r="L4" t="str">
        <f t="shared" si="1"/>
        <v>Medium</v>
      </c>
    </row>
    <row r="5" spans="1:12" x14ac:dyDescent="0.3">
      <c r="A5">
        <v>4</v>
      </c>
      <c r="B5">
        <v>32</v>
      </c>
      <c r="C5" t="s">
        <v>10</v>
      </c>
      <c r="D5" t="s">
        <v>11</v>
      </c>
      <c r="E5" t="s">
        <v>18</v>
      </c>
      <c r="F5">
        <v>16</v>
      </c>
      <c r="G5" t="s">
        <v>13</v>
      </c>
      <c r="H5">
        <v>9</v>
      </c>
      <c r="I5">
        <v>1</v>
      </c>
      <c r="J5">
        <v>17</v>
      </c>
      <c r="K5">
        <f t="shared" si="0"/>
        <v>8</v>
      </c>
      <c r="L5" t="str">
        <f t="shared" si="1"/>
        <v>Medium</v>
      </c>
    </row>
    <row r="6" spans="1:12" x14ac:dyDescent="0.3">
      <c r="A6">
        <v>5</v>
      </c>
      <c r="B6">
        <v>60</v>
      </c>
      <c r="C6" t="s">
        <v>16</v>
      </c>
      <c r="D6" t="s">
        <v>17</v>
      </c>
      <c r="E6" t="s">
        <v>12</v>
      </c>
      <c r="F6">
        <v>4</v>
      </c>
      <c r="G6" t="s">
        <v>13</v>
      </c>
      <c r="H6">
        <v>6</v>
      </c>
      <c r="I6">
        <v>3</v>
      </c>
      <c r="J6">
        <v>94</v>
      </c>
      <c r="K6">
        <f t="shared" si="0"/>
        <v>3</v>
      </c>
      <c r="L6" t="str">
        <f t="shared" si="1"/>
        <v>Low</v>
      </c>
    </row>
    <row r="7" spans="1:12" x14ac:dyDescent="0.3">
      <c r="A7">
        <v>6</v>
      </c>
      <c r="B7">
        <v>25</v>
      </c>
      <c r="C7" t="s">
        <v>16</v>
      </c>
      <c r="D7" t="s">
        <v>17</v>
      </c>
      <c r="E7" t="s">
        <v>20</v>
      </c>
      <c r="F7">
        <v>19</v>
      </c>
      <c r="G7" t="s">
        <v>19</v>
      </c>
      <c r="H7">
        <v>6</v>
      </c>
      <c r="I7">
        <v>2</v>
      </c>
      <c r="J7">
        <v>10</v>
      </c>
      <c r="K7">
        <f t="shared" si="0"/>
        <v>4</v>
      </c>
      <c r="L7" t="str">
        <f t="shared" si="1"/>
        <v>High</v>
      </c>
    </row>
    <row r="8" spans="1:12" x14ac:dyDescent="0.3">
      <c r="A8">
        <v>7</v>
      </c>
      <c r="B8">
        <v>78</v>
      </c>
      <c r="C8" t="s">
        <v>10</v>
      </c>
      <c r="D8" t="s">
        <v>21</v>
      </c>
      <c r="E8" t="s">
        <v>12</v>
      </c>
      <c r="F8">
        <v>16</v>
      </c>
      <c r="G8" t="s">
        <v>13</v>
      </c>
      <c r="H8">
        <v>5</v>
      </c>
      <c r="I8">
        <v>4</v>
      </c>
      <c r="J8">
        <v>17</v>
      </c>
      <c r="K8">
        <f t="shared" si="0"/>
        <v>1</v>
      </c>
      <c r="L8" t="str">
        <f t="shared" si="1"/>
        <v>Medium</v>
      </c>
    </row>
    <row r="9" spans="1:12" x14ac:dyDescent="0.3">
      <c r="A9">
        <v>8</v>
      </c>
      <c r="B9">
        <v>38</v>
      </c>
      <c r="C9" t="s">
        <v>16</v>
      </c>
      <c r="D9" t="s">
        <v>14</v>
      </c>
      <c r="E9" t="s">
        <v>12</v>
      </c>
      <c r="F9">
        <v>15</v>
      </c>
      <c r="G9" t="s">
        <v>22</v>
      </c>
      <c r="H9">
        <v>6</v>
      </c>
      <c r="I9">
        <v>3</v>
      </c>
      <c r="J9">
        <v>38</v>
      </c>
      <c r="K9">
        <f t="shared" si="0"/>
        <v>3</v>
      </c>
      <c r="L9" t="str">
        <f t="shared" si="1"/>
        <v>Medium</v>
      </c>
    </row>
    <row r="10" spans="1:12" x14ac:dyDescent="0.3">
      <c r="A10">
        <v>9</v>
      </c>
      <c r="B10">
        <v>56</v>
      </c>
      <c r="C10" t="s">
        <v>16</v>
      </c>
      <c r="D10" t="s">
        <v>11</v>
      </c>
      <c r="E10" t="s">
        <v>20</v>
      </c>
      <c r="F10">
        <v>11</v>
      </c>
      <c r="G10" t="s">
        <v>22</v>
      </c>
      <c r="H10">
        <v>9</v>
      </c>
      <c r="I10">
        <v>4</v>
      </c>
      <c r="J10">
        <v>105</v>
      </c>
      <c r="K10">
        <f t="shared" si="0"/>
        <v>5</v>
      </c>
      <c r="L10" t="str">
        <f t="shared" si="1"/>
        <v>Medium</v>
      </c>
    </row>
    <row r="11" spans="1:12" x14ac:dyDescent="0.3">
      <c r="A11">
        <v>10</v>
      </c>
      <c r="B11">
        <v>75</v>
      </c>
      <c r="C11" t="s">
        <v>16</v>
      </c>
      <c r="D11" t="s">
        <v>21</v>
      </c>
      <c r="E11" t="s">
        <v>20</v>
      </c>
      <c r="F11">
        <v>17</v>
      </c>
      <c r="G11" t="s">
        <v>13</v>
      </c>
      <c r="H11">
        <v>6</v>
      </c>
      <c r="I11">
        <v>3</v>
      </c>
      <c r="J11">
        <v>111</v>
      </c>
      <c r="K11">
        <f t="shared" si="0"/>
        <v>3</v>
      </c>
      <c r="L11" t="str">
        <f t="shared" si="1"/>
        <v>High</v>
      </c>
    </row>
    <row r="12" spans="1:12" x14ac:dyDescent="0.3">
      <c r="A12">
        <v>11</v>
      </c>
      <c r="B12">
        <v>36</v>
      </c>
      <c r="C12" t="s">
        <v>10</v>
      </c>
      <c r="D12" t="s">
        <v>21</v>
      </c>
      <c r="E12" t="s">
        <v>20</v>
      </c>
      <c r="F12">
        <v>24</v>
      </c>
      <c r="G12" t="s">
        <v>19</v>
      </c>
      <c r="H12">
        <v>9</v>
      </c>
      <c r="I12">
        <v>1</v>
      </c>
      <c r="J12">
        <v>14</v>
      </c>
      <c r="K12">
        <f t="shared" si="0"/>
        <v>8</v>
      </c>
      <c r="L12" t="str">
        <f t="shared" si="1"/>
        <v>High</v>
      </c>
    </row>
    <row r="13" spans="1:12" x14ac:dyDescent="0.3">
      <c r="A13">
        <v>12</v>
      </c>
      <c r="B13">
        <v>40</v>
      </c>
      <c r="C13" t="s">
        <v>10</v>
      </c>
      <c r="D13" t="s">
        <v>11</v>
      </c>
      <c r="E13" t="s">
        <v>18</v>
      </c>
      <c r="F13">
        <v>17</v>
      </c>
      <c r="G13" t="s">
        <v>22</v>
      </c>
      <c r="H13">
        <v>5</v>
      </c>
      <c r="I13">
        <v>2</v>
      </c>
      <c r="J13">
        <v>95</v>
      </c>
      <c r="K13">
        <f t="shared" si="0"/>
        <v>3</v>
      </c>
      <c r="L13" t="str">
        <f t="shared" si="1"/>
        <v>High</v>
      </c>
    </row>
    <row r="14" spans="1:12" x14ac:dyDescent="0.3">
      <c r="A14">
        <v>13</v>
      </c>
      <c r="B14">
        <v>28</v>
      </c>
      <c r="C14" t="s">
        <v>16</v>
      </c>
      <c r="D14" t="s">
        <v>17</v>
      </c>
      <c r="E14" t="s">
        <v>15</v>
      </c>
      <c r="F14">
        <v>13</v>
      </c>
      <c r="G14" t="s">
        <v>19</v>
      </c>
      <c r="H14">
        <v>7</v>
      </c>
      <c r="I14">
        <v>3</v>
      </c>
      <c r="J14">
        <v>56</v>
      </c>
      <c r="K14">
        <f t="shared" si="0"/>
        <v>4</v>
      </c>
      <c r="L14" t="str">
        <f t="shared" si="1"/>
        <v>Medium</v>
      </c>
    </row>
    <row r="15" spans="1:12" x14ac:dyDescent="0.3">
      <c r="A15">
        <v>14</v>
      </c>
      <c r="B15">
        <v>28</v>
      </c>
      <c r="C15" t="s">
        <v>10</v>
      </c>
      <c r="D15" t="s">
        <v>21</v>
      </c>
      <c r="E15" t="s">
        <v>18</v>
      </c>
      <c r="F15">
        <v>18</v>
      </c>
      <c r="G15" t="s">
        <v>19</v>
      </c>
      <c r="H15">
        <v>6</v>
      </c>
      <c r="I15">
        <v>5</v>
      </c>
      <c r="J15">
        <v>43</v>
      </c>
      <c r="K15">
        <f t="shared" si="0"/>
        <v>1</v>
      </c>
      <c r="L15" t="str">
        <f t="shared" si="1"/>
        <v>High</v>
      </c>
    </row>
    <row r="16" spans="1:12" x14ac:dyDescent="0.3">
      <c r="A16">
        <v>15</v>
      </c>
      <c r="B16">
        <v>41</v>
      </c>
      <c r="C16" t="s">
        <v>10</v>
      </c>
      <c r="D16" t="s">
        <v>17</v>
      </c>
      <c r="E16" t="s">
        <v>15</v>
      </c>
      <c r="F16">
        <v>19</v>
      </c>
      <c r="G16" t="s">
        <v>22</v>
      </c>
      <c r="H16">
        <v>7</v>
      </c>
      <c r="I16">
        <v>0</v>
      </c>
      <c r="J16">
        <v>74</v>
      </c>
      <c r="K16">
        <f t="shared" si="0"/>
        <v>7</v>
      </c>
      <c r="L16" t="str">
        <f t="shared" si="1"/>
        <v>High</v>
      </c>
    </row>
    <row r="17" spans="1:12" x14ac:dyDescent="0.3">
      <c r="A17">
        <v>16</v>
      </c>
      <c r="B17">
        <v>70</v>
      </c>
      <c r="C17" t="s">
        <v>10</v>
      </c>
      <c r="D17" t="s">
        <v>14</v>
      </c>
      <c r="E17" t="s">
        <v>18</v>
      </c>
      <c r="F17">
        <v>6</v>
      </c>
      <c r="G17" t="s">
        <v>19</v>
      </c>
      <c r="H17">
        <v>9</v>
      </c>
      <c r="I17">
        <v>5</v>
      </c>
      <c r="J17">
        <v>64</v>
      </c>
      <c r="K17">
        <f t="shared" si="0"/>
        <v>4</v>
      </c>
      <c r="L17" t="str">
        <f t="shared" si="1"/>
        <v>Low</v>
      </c>
    </row>
    <row r="18" spans="1:12" x14ac:dyDescent="0.3">
      <c r="A18">
        <v>17</v>
      </c>
      <c r="B18">
        <v>53</v>
      </c>
      <c r="C18" t="s">
        <v>10</v>
      </c>
      <c r="D18" t="s">
        <v>17</v>
      </c>
      <c r="E18" t="s">
        <v>15</v>
      </c>
      <c r="F18">
        <v>3</v>
      </c>
      <c r="G18" t="s">
        <v>22</v>
      </c>
      <c r="H18">
        <v>6</v>
      </c>
      <c r="I18">
        <v>5</v>
      </c>
      <c r="J18">
        <v>99</v>
      </c>
      <c r="K18">
        <f t="shared" si="0"/>
        <v>1</v>
      </c>
      <c r="L18" t="str">
        <f t="shared" si="1"/>
        <v>Low</v>
      </c>
    </row>
    <row r="19" spans="1:12" x14ac:dyDescent="0.3">
      <c r="A19">
        <v>18</v>
      </c>
      <c r="B19">
        <v>57</v>
      </c>
      <c r="C19" t="s">
        <v>16</v>
      </c>
      <c r="D19" t="s">
        <v>14</v>
      </c>
      <c r="E19" t="s">
        <v>18</v>
      </c>
      <c r="F19">
        <v>10</v>
      </c>
      <c r="G19" t="s">
        <v>19</v>
      </c>
      <c r="H19">
        <v>8</v>
      </c>
      <c r="I19">
        <v>0</v>
      </c>
      <c r="J19">
        <v>52</v>
      </c>
      <c r="K19">
        <f t="shared" si="0"/>
        <v>8</v>
      </c>
      <c r="L19" t="str">
        <f t="shared" si="1"/>
        <v>Medium</v>
      </c>
    </row>
    <row r="20" spans="1:12" x14ac:dyDescent="0.3">
      <c r="A20">
        <v>19</v>
      </c>
      <c r="B20">
        <v>41</v>
      </c>
      <c r="C20" t="s">
        <v>16</v>
      </c>
      <c r="D20" t="s">
        <v>17</v>
      </c>
      <c r="E20" t="s">
        <v>20</v>
      </c>
      <c r="F20">
        <v>19</v>
      </c>
      <c r="G20" t="s">
        <v>22</v>
      </c>
      <c r="H20">
        <v>7</v>
      </c>
      <c r="I20">
        <v>5</v>
      </c>
      <c r="J20">
        <v>83</v>
      </c>
      <c r="K20">
        <f t="shared" si="0"/>
        <v>2</v>
      </c>
      <c r="L20" t="str">
        <f t="shared" si="1"/>
        <v>High</v>
      </c>
    </row>
    <row r="21" spans="1:12" x14ac:dyDescent="0.3">
      <c r="A21">
        <v>20</v>
      </c>
      <c r="B21">
        <v>20</v>
      </c>
      <c r="C21" t="s">
        <v>10</v>
      </c>
      <c r="D21" t="s">
        <v>21</v>
      </c>
      <c r="E21" t="s">
        <v>12</v>
      </c>
      <c r="F21">
        <v>5</v>
      </c>
      <c r="G21" t="s">
        <v>13</v>
      </c>
      <c r="H21">
        <v>6</v>
      </c>
      <c r="I21">
        <v>3</v>
      </c>
      <c r="J21">
        <v>39</v>
      </c>
      <c r="K21">
        <f t="shared" si="0"/>
        <v>3</v>
      </c>
      <c r="L21" t="str">
        <f t="shared" si="1"/>
        <v>Low</v>
      </c>
    </row>
    <row r="22" spans="1:12" x14ac:dyDescent="0.3">
      <c r="A22">
        <v>21</v>
      </c>
      <c r="B22">
        <v>39</v>
      </c>
      <c r="C22" t="s">
        <v>10</v>
      </c>
      <c r="D22" t="s">
        <v>21</v>
      </c>
      <c r="E22" t="s">
        <v>18</v>
      </c>
      <c r="F22">
        <v>22</v>
      </c>
      <c r="G22" t="s">
        <v>22</v>
      </c>
      <c r="H22">
        <v>7</v>
      </c>
      <c r="I22">
        <v>3</v>
      </c>
      <c r="J22">
        <v>91</v>
      </c>
      <c r="K22">
        <f t="shared" si="0"/>
        <v>4</v>
      </c>
      <c r="L22" t="str">
        <f t="shared" si="1"/>
        <v>High</v>
      </c>
    </row>
    <row r="23" spans="1:12" x14ac:dyDescent="0.3">
      <c r="A23">
        <v>22</v>
      </c>
      <c r="B23">
        <v>70</v>
      </c>
      <c r="C23" t="s">
        <v>16</v>
      </c>
      <c r="D23" t="s">
        <v>14</v>
      </c>
      <c r="E23" t="s">
        <v>15</v>
      </c>
      <c r="F23">
        <v>17</v>
      </c>
      <c r="G23" t="s">
        <v>22</v>
      </c>
      <c r="H23">
        <v>6</v>
      </c>
      <c r="I23">
        <v>3</v>
      </c>
      <c r="J23">
        <v>26</v>
      </c>
      <c r="K23">
        <f t="shared" si="0"/>
        <v>3</v>
      </c>
      <c r="L23" t="str">
        <f t="shared" si="1"/>
        <v>High</v>
      </c>
    </row>
    <row r="24" spans="1:12" x14ac:dyDescent="0.3">
      <c r="A24">
        <v>23</v>
      </c>
      <c r="B24">
        <v>19</v>
      </c>
      <c r="C24" t="s">
        <v>16</v>
      </c>
      <c r="D24" t="s">
        <v>11</v>
      </c>
      <c r="E24" t="s">
        <v>20</v>
      </c>
      <c r="F24">
        <v>17</v>
      </c>
      <c r="G24" t="s">
        <v>22</v>
      </c>
      <c r="H24">
        <v>5</v>
      </c>
      <c r="I24">
        <v>0</v>
      </c>
      <c r="J24">
        <v>35</v>
      </c>
      <c r="K24">
        <f t="shared" si="0"/>
        <v>5</v>
      </c>
      <c r="L24" t="str">
        <f t="shared" si="1"/>
        <v>High</v>
      </c>
    </row>
    <row r="25" spans="1:12" x14ac:dyDescent="0.3">
      <c r="A25">
        <v>24</v>
      </c>
      <c r="B25">
        <v>41</v>
      </c>
      <c r="C25" t="s">
        <v>10</v>
      </c>
      <c r="D25" t="s">
        <v>14</v>
      </c>
      <c r="E25" t="s">
        <v>18</v>
      </c>
      <c r="F25">
        <v>24</v>
      </c>
      <c r="G25" t="s">
        <v>22</v>
      </c>
      <c r="H25">
        <v>7</v>
      </c>
      <c r="I25">
        <v>5</v>
      </c>
      <c r="J25">
        <v>17</v>
      </c>
      <c r="K25">
        <f t="shared" si="0"/>
        <v>2</v>
      </c>
      <c r="L25" t="str">
        <f t="shared" si="1"/>
        <v>High</v>
      </c>
    </row>
    <row r="26" spans="1:12" x14ac:dyDescent="0.3">
      <c r="A26">
        <v>25</v>
      </c>
      <c r="B26">
        <v>61</v>
      </c>
      <c r="C26" t="s">
        <v>16</v>
      </c>
      <c r="D26" t="s">
        <v>14</v>
      </c>
      <c r="E26" t="s">
        <v>18</v>
      </c>
      <c r="F26">
        <v>16</v>
      </c>
      <c r="G26" t="s">
        <v>19</v>
      </c>
      <c r="H26">
        <v>8</v>
      </c>
      <c r="I26">
        <v>0</v>
      </c>
      <c r="J26">
        <v>56</v>
      </c>
      <c r="K26">
        <f t="shared" si="0"/>
        <v>8</v>
      </c>
      <c r="L26" t="str">
        <f t="shared" si="1"/>
        <v>Medium</v>
      </c>
    </row>
    <row r="27" spans="1:12" x14ac:dyDescent="0.3">
      <c r="A27">
        <v>26</v>
      </c>
      <c r="B27">
        <v>47</v>
      </c>
      <c r="C27" t="s">
        <v>10</v>
      </c>
      <c r="D27" t="s">
        <v>17</v>
      </c>
      <c r="E27" t="s">
        <v>20</v>
      </c>
      <c r="F27">
        <v>16</v>
      </c>
      <c r="G27" t="s">
        <v>13</v>
      </c>
      <c r="H27">
        <v>8</v>
      </c>
      <c r="I27">
        <v>3</v>
      </c>
      <c r="J27">
        <v>113</v>
      </c>
      <c r="K27">
        <f t="shared" si="0"/>
        <v>5</v>
      </c>
      <c r="L27" t="str">
        <f t="shared" si="1"/>
        <v>Medium</v>
      </c>
    </row>
    <row r="28" spans="1:12" x14ac:dyDescent="0.3">
      <c r="A28">
        <v>27</v>
      </c>
      <c r="B28">
        <v>55</v>
      </c>
      <c r="C28" t="s">
        <v>10</v>
      </c>
      <c r="D28" t="s">
        <v>17</v>
      </c>
      <c r="E28" t="s">
        <v>18</v>
      </c>
      <c r="F28">
        <v>4</v>
      </c>
      <c r="G28" t="s">
        <v>22</v>
      </c>
      <c r="H28">
        <v>9</v>
      </c>
      <c r="I28">
        <v>5</v>
      </c>
      <c r="J28">
        <v>85</v>
      </c>
      <c r="K28">
        <f t="shared" si="0"/>
        <v>4</v>
      </c>
      <c r="L28" t="str">
        <f t="shared" si="1"/>
        <v>Low</v>
      </c>
    </row>
    <row r="29" spans="1:12" x14ac:dyDescent="0.3">
      <c r="A29">
        <v>28</v>
      </c>
      <c r="B29">
        <v>19</v>
      </c>
      <c r="C29" t="s">
        <v>16</v>
      </c>
      <c r="D29" t="s">
        <v>14</v>
      </c>
      <c r="E29" t="s">
        <v>12</v>
      </c>
      <c r="F29">
        <v>15</v>
      </c>
      <c r="G29" t="s">
        <v>19</v>
      </c>
      <c r="H29">
        <v>6</v>
      </c>
      <c r="I29">
        <v>5</v>
      </c>
      <c r="J29">
        <v>100</v>
      </c>
      <c r="K29">
        <f t="shared" si="0"/>
        <v>1</v>
      </c>
      <c r="L29" t="str">
        <f t="shared" si="1"/>
        <v>Medium</v>
      </c>
    </row>
    <row r="30" spans="1:12" x14ac:dyDescent="0.3">
      <c r="A30">
        <v>29</v>
      </c>
      <c r="B30">
        <v>77</v>
      </c>
      <c r="C30" t="s">
        <v>16</v>
      </c>
      <c r="D30" t="s">
        <v>21</v>
      </c>
      <c r="E30" t="s">
        <v>18</v>
      </c>
      <c r="F30">
        <v>16</v>
      </c>
      <c r="G30" t="s">
        <v>13</v>
      </c>
      <c r="H30">
        <v>7</v>
      </c>
      <c r="I30">
        <v>4</v>
      </c>
      <c r="J30">
        <v>81</v>
      </c>
      <c r="K30">
        <f t="shared" si="0"/>
        <v>3</v>
      </c>
      <c r="L30" t="str">
        <f t="shared" si="1"/>
        <v>Medium</v>
      </c>
    </row>
    <row r="31" spans="1:12" x14ac:dyDescent="0.3">
      <c r="A31">
        <v>30</v>
      </c>
      <c r="B31">
        <v>38</v>
      </c>
      <c r="C31" t="s">
        <v>10</v>
      </c>
      <c r="D31" t="s">
        <v>17</v>
      </c>
      <c r="E31" t="s">
        <v>12</v>
      </c>
      <c r="F31">
        <v>21</v>
      </c>
      <c r="G31" t="s">
        <v>13</v>
      </c>
      <c r="H31">
        <v>9</v>
      </c>
      <c r="I31">
        <v>4</v>
      </c>
      <c r="J31">
        <v>98</v>
      </c>
      <c r="K31">
        <f t="shared" si="0"/>
        <v>5</v>
      </c>
      <c r="L31" t="str">
        <f t="shared" si="1"/>
        <v>High</v>
      </c>
    </row>
    <row r="32" spans="1:12" x14ac:dyDescent="0.3">
      <c r="A32">
        <v>31</v>
      </c>
      <c r="B32">
        <v>50</v>
      </c>
      <c r="C32" t="s">
        <v>10</v>
      </c>
      <c r="D32" t="s">
        <v>11</v>
      </c>
      <c r="E32" t="s">
        <v>12</v>
      </c>
      <c r="F32">
        <v>9</v>
      </c>
      <c r="G32" t="s">
        <v>13</v>
      </c>
      <c r="H32">
        <v>7</v>
      </c>
      <c r="I32">
        <v>1</v>
      </c>
      <c r="J32">
        <v>55</v>
      </c>
      <c r="K32">
        <f t="shared" si="0"/>
        <v>6</v>
      </c>
      <c r="L32" t="str">
        <f t="shared" si="1"/>
        <v>Medium</v>
      </c>
    </row>
    <row r="33" spans="1:12" x14ac:dyDescent="0.3">
      <c r="A33">
        <v>32</v>
      </c>
      <c r="B33">
        <v>29</v>
      </c>
      <c r="C33" t="s">
        <v>16</v>
      </c>
      <c r="D33" t="s">
        <v>17</v>
      </c>
      <c r="E33" t="s">
        <v>20</v>
      </c>
      <c r="F33">
        <v>5</v>
      </c>
      <c r="G33" t="s">
        <v>13</v>
      </c>
      <c r="H33">
        <v>6</v>
      </c>
      <c r="I33">
        <v>2</v>
      </c>
      <c r="J33">
        <v>77</v>
      </c>
      <c r="K33">
        <f t="shared" si="0"/>
        <v>4</v>
      </c>
      <c r="L33" t="str">
        <f t="shared" si="1"/>
        <v>Low</v>
      </c>
    </row>
    <row r="34" spans="1:12" x14ac:dyDescent="0.3">
      <c r="A34">
        <v>33</v>
      </c>
      <c r="B34">
        <v>75</v>
      </c>
      <c r="C34" t="s">
        <v>10</v>
      </c>
      <c r="D34" t="s">
        <v>17</v>
      </c>
      <c r="E34" t="s">
        <v>18</v>
      </c>
      <c r="F34">
        <v>17</v>
      </c>
      <c r="G34" t="s">
        <v>22</v>
      </c>
      <c r="H34">
        <v>8</v>
      </c>
      <c r="I34">
        <v>4</v>
      </c>
      <c r="J34">
        <v>42</v>
      </c>
      <c r="K34">
        <f t="shared" si="0"/>
        <v>4</v>
      </c>
      <c r="L34" t="str">
        <f t="shared" si="1"/>
        <v>High</v>
      </c>
    </row>
    <row r="35" spans="1:12" x14ac:dyDescent="0.3">
      <c r="A35">
        <v>34</v>
      </c>
      <c r="B35">
        <v>39</v>
      </c>
      <c r="C35" t="s">
        <v>16</v>
      </c>
      <c r="D35" t="s">
        <v>11</v>
      </c>
      <c r="E35" t="s">
        <v>20</v>
      </c>
      <c r="F35">
        <v>16</v>
      </c>
      <c r="G35" t="s">
        <v>22</v>
      </c>
      <c r="H35">
        <v>5</v>
      </c>
      <c r="I35">
        <v>0</v>
      </c>
      <c r="J35">
        <v>10</v>
      </c>
      <c r="K35">
        <f t="shared" si="0"/>
        <v>5</v>
      </c>
      <c r="L35" t="str">
        <f t="shared" si="1"/>
        <v>Medium</v>
      </c>
    </row>
    <row r="36" spans="1:12" x14ac:dyDescent="0.3">
      <c r="A36">
        <v>35</v>
      </c>
      <c r="B36">
        <v>78</v>
      </c>
      <c r="C36" t="s">
        <v>10</v>
      </c>
      <c r="D36" t="s">
        <v>14</v>
      </c>
      <c r="E36" t="s">
        <v>18</v>
      </c>
      <c r="F36">
        <v>13</v>
      </c>
      <c r="G36" t="s">
        <v>19</v>
      </c>
      <c r="H36">
        <v>8</v>
      </c>
      <c r="I36">
        <v>4</v>
      </c>
      <c r="J36">
        <v>28</v>
      </c>
      <c r="K36">
        <f t="shared" si="0"/>
        <v>4</v>
      </c>
      <c r="L36" t="str">
        <f t="shared" si="1"/>
        <v>Medium</v>
      </c>
    </row>
    <row r="37" spans="1:12" x14ac:dyDescent="0.3">
      <c r="A37">
        <v>36</v>
      </c>
      <c r="B37">
        <v>61</v>
      </c>
      <c r="C37" t="s">
        <v>16</v>
      </c>
      <c r="D37" t="s">
        <v>11</v>
      </c>
      <c r="E37" t="s">
        <v>18</v>
      </c>
      <c r="F37">
        <v>17</v>
      </c>
      <c r="G37" t="s">
        <v>19</v>
      </c>
      <c r="H37">
        <v>9</v>
      </c>
      <c r="I37">
        <v>1</v>
      </c>
      <c r="J37">
        <v>40</v>
      </c>
      <c r="K37">
        <f t="shared" si="0"/>
        <v>8</v>
      </c>
      <c r="L37" t="str">
        <f t="shared" si="1"/>
        <v>High</v>
      </c>
    </row>
    <row r="38" spans="1:12" x14ac:dyDescent="0.3">
      <c r="A38">
        <v>37</v>
      </c>
      <c r="B38">
        <v>42</v>
      </c>
      <c r="C38" t="s">
        <v>16</v>
      </c>
      <c r="D38" t="s">
        <v>14</v>
      </c>
      <c r="E38" t="s">
        <v>15</v>
      </c>
      <c r="F38">
        <v>15</v>
      </c>
      <c r="G38" t="s">
        <v>19</v>
      </c>
      <c r="H38">
        <v>5</v>
      </c>
      <c r="I38">
        <v>5</v>
      </c>
      <c r="J38">
        <v>89</v>
      </c>
      <c r="K38">
        <f t="shared" si="0"/>
        <v>0</v>
      </c>
      <c r="L38" t="str">
        <f t="shared" si="1"/>
        <v>Medium</v>
      </c>
    </row>
    <row r="39" spans="1:12" x14ac:dyDescent="0.3">
      <c r="A39">
        <v>38</v>
      </c>
      <c r="B39">
        <v>66</v>
      </c>
      <c r="C39" t="s">
        <v>16</v>
      </c>
      <c r="D39" t="s">
        <v>14</v>
      </c>
      <c r="E39" t="s">
        <v>18</v>
      </c>
      <c r="F39">
        <v>20</v>
      </c>
      <c r="G39" t="s">
        <v>13</v>
      </c>
      <c r="H39">
        <v>9</v>
      </c>
      <c r="I39">
        <v>1</v>
      </c>
      <c r="J39">
        <v>23</v>
      </c>
      <c r="K39">
        <f t="shared" si="0"/>
        <v>8</v>
      </c>
      <c r="L39" t="str">
        <f t="shared" si="1"/>
        <v>High</v>
      </c>
    </row>
    <row r="40" spans="1:12" x14ac:dyDescent="0.3">
      <c r="A40">
        <v>39</v>
      </c>
      <c r="B40">
        <v>44</v>
      </c>
      <c r="C40" t="s">
        <v>10</v>
      </c>
      <c r="D40" t="s">
        <v>14</v>
      </c>
      <c r="E40" t="s">
        <v>20</v>
      </c>
      <c r="F40">
        <v>8</v>
      </c>
      <c r="G40" t="s">
        <v>13</v>
      </c>
      <c r="H40">
        <v>6</v>
      </c>
      <c r="I40">
        <v>5</v>
      </c>
      <c r="J40">
        <v>62</v>
      </c>
      <c r="K40">
        <f t="shared" si="0"/>
        <v>1</v>
      </c>
      <c r="L40" t="str">
        <f t="shared" si="1"/>
        <v>Low</v>
      </c>
    </row>
    <row r="41" spans="1:12" x14ac:dyDescent="0.3">
      <c r="A41">
        <v>40</v>
      </c>
      <c r="B41">
        <v>76</v>
      </c>
      <c r="C41" t="s">
        <v>10</v>
      </c>
      <c r="D41" t="s">
        <v>11</v>
      </c>
      <c r="E41" t="s">
        <v>12</v>
      </c>
      <c r="F41">
        <v>5</v>
      </c>
      <c r="G41" t="s">
        <v>22</v>
      </c>
      <c r="H41">
        <v>5</v>
      </c>
      <c r="I41">
        <v>5</v>
      </c>
      <c r="J41">
        <v>57</v>
      </c>
      <c r="K41">
        <f t="shared" si="0"/>
        <v>0</v>
      </c>
      <c r="L41" t="str">
        <f t="shared" si="1"/>
        <v>Low</v>
      </c>
    </row>
    <row r="42" spans="1:12" x14ac:dyDescent="0.3">
      <c r="A42">
        <v>41</v>
      </c>
      <c r="B42">
        <v>59</v>
      </c>
      <c r="C42" t="s">
        <v>16</v>
      </c>
      <c r="D42" t="s">
        <v>14</v>
      </c>
      <c r="E42" t="s">
        <v>18</v>
      </c>
      <c r="F42">
        <v>21</v>
      </c>
      <c r="G42" t="s">
        <v>13</v>
      </c>
      <c r="H42">
        <v>9</v>
      </c>
      <c r="I42">
        <v>2</v>
      </c>
      <c r="J42">
        <v>78</v>
      </c>
      <c r="K42">
        <f t="shared" si="0"/>
        <v>7</v>
      </c>
      <c r="L42" t="str">
        <f t="shared" si="1"/>
        <v>High</v>
      </c>
    </row>
    <row r="43" spans="1:12" x14ac:dyDescent="0.3">
      <c r="A43">
        <v>42</v>
      </c>
      <c r="B43">
        <v>45</v>
      </c>
      <c r="C43" t="s">
        <v>10</v>
      </c>
      <c r="D43" t="s">
        <v>21</v>
      </c>
      <c r="E43" t="s">
        <v>15</v>
      </c>
      <c r="F43">
        <v>17</v>
      </c>
      <c r="G43" t="s">
        <v>13</v>
      </c>
      <c r="H43">
        <v>6</v>
      </c>
      <c r="I43">
        <v>4</v>
      </c>
      <c r="J43">
        <v>114</v>
      </c>
      <c r="K43">
        <f t="shared" si="0"/>
        <v>2</v>
      </c>
      <c r="L43" t="str">
        <f t="shared" si="1"/>
        <v>High</v>
      </c>
    </row>
    <row r="44" spans="1:12" x14ac:dyDescent="0.3">
      <c r="A44">
        <v>43</v>
      </c>
      <c r="B44">
        <v>77</v>
      </c>
      <c r="C44" t="s">
        <v>16</v>
      </c>
      <c r="D44" t="s">
        <v>11</v>
      </c>
      <c r="E44" t="s">
        <v>20</v>
      </c>
      <c r="F44">
        <v>7</v>
      </c>
      <c r="G44" t="s">
        <v>13</v>
      </c>
      <c r="H44">
        <v>8</v>
      </c>
      <c r="I44">
        <v>0</v>
      </c>
      <c r="J44">
        <v>99</v>
      </c>
      <c r="K44">
        <f t="shared" si="0"/>
        <v>8</v>
      </c>
      <c r="L44" t="str">
        <f t="shared" si="1"/>
        <v>Low</v>
      </c>
    </row>
    <row r="45" spans="1:12" x14ac:dyDescent="0.3">
      <c r="A45">
        <v>44</v>
      </c>
      <c r="B45">
        <v>33</v>
      </c>
      <c r="C45" t="s">
        <v>16</v>
      </c>
      <c r="D45" t="s">
        <v>21</v>
      </c>
      <c r="E45" t="s">
        <v>18</v>
      </c>
      <c r="F45">
        <v>12</v>
      </c>
      <c r="G45" t="s">
        <v>19</v>
      </c>
      <c r="H45">
        <v>6</v>
      </c>
      <c r="I45">
        <v>0</v>
      </c>
      <c r="J45">
        <v>71</v>
      </c>
      <c r="K45">
        <f t="shared" si="0"/>
        <v>6</v>
      </c>
      <c r="L45" t="str">
        <f t="shared" si="1"/>
        <v>Medium</v>
      </c>
    </row>
    <row r="46" spans="1:12" x14ac:dyDescent="0.3">
      <c r="A46">
        <v>45</v>
      </c>
      <c r="B46">
        <v>32</v>
      </c>
      <c r="C46" t="s">
        <v>10</v>
      </c>
      <c r="D46" t="s">
        <v>14</v>
      </c>
      <c r="E46" t="s">
        <v>20</v>
      </c>
      <c r="F46">
        <v>9</v>
      </c>
      <c r="G46" t="s">
        <v>19</v>
      </c>
      <c r="H46">
        <v>7</v>
      </c>
      <c r="I46">
        <v>3</v>
      </c>
      <c r="J46">
        <v>101</v>
      </c>
      <c r="K46">
        <f t="shared" si="0"/>
        <v>4</v>
      </c>
      <c r="L46" t="str">
        <f t="shared" si="1"/>
        <v>Medium</v>
      </c>
    </row>
    <row r="47" spans="1:12" x14ac:dyDescent="0.3">
      <c r="A47">
        <v>46</v>
      </c>
      <c r="B47">
        <v>79</v>
      </c>
      <c r="C47" t="s">
        <v>10</v>
      </c>
      <c r="D47" t="s">
        <v>17</v>
      </c>
      <c r="E47" t="s">
        <v>15</v>
      </c>
      <c r="F47">
        <v>19</v>
      </c>
      <c r="G47" t="s">
        <v>22</v>
      </c>
      <c r="H47">
        <v>6</v>
      </c>
      <c r="I47">
        <v>5</v>
      </c>
      <c r="J47">
        <v>75</v>
      </c>
      <c r="K47">
        <f t="shared" si="0"/>
        <v>1</v>
      </c>
      <c r="L47" t="str">
        <f t="shared" si="1"/>
        <v>High</v>
      </c>
    </row>
    <row r="48" spans="1:12" x14ac:dyDescent="0.3">
      <c r="A48">
        <v>47</v>
      </c>
      <c r="B48">
        <v>79</v>
      </c>
      <c r="C48" t="s">
        <v>16</v>
      </c>
      <c r="D48" t="s">
        <v>14</v>
      </c>
      <c r="E48" t="s">
        <v>15</v>
      </c>
      <c r="F48">
        <v>9</v>
      </c>
      <c r="G48" t="s">
        <v>13</v>
      </c>
      <c r="H48">
        <v>6</v>
      </c>
      <c r="I48">
        <v>0</v>
      </c>
      <c r="J48">
        <v>73</v>
      </c>
      <c r="K48">
        <f t="shared" si="0"/>
        <v>6</v>
      </c>
      <c r="L48" t="str">
        <f t="shared" si="1"/>
        <v>Medium</v>
      </c>
    </row>
    <row r="49" spans="1:12" x14ac:dyDescent="0.3">
      <c r="A49">
        <v>48</v>
      </c>
      <c r="B49">
        <v>64</v>
      </c>
      <c r="C49" t="s">
        <v>10</v>
      </c>
      <c r="D49" t="s">
        <v>21</v>
      </c>
      <c r="E49" t="s">
        <v>20</v>
      </c>
      <c r="F49">
        <v>24</v>
      </c>
      <c r="G49" t="s">
        <v>13</v>
      </c>
      <c r="H49">
        <v>7</v>
      </c>
      <c r="I49">
        <v>2</v>
      </c>
      <c r="J49">
        <v>79</v>
      </c>
      <c r="K49">
        <f t="shared" si="0"/>
        <v>5</v>
      </c>
      <c r="L49" t="str">
        <f t="shared" si="1"/>
        <v>High</v>
      </c>
    </row>
    <row r="50" spans="1:12" x14ac:dyDescent="0.3">
      <c r="A50">
        <v>49</v>
      </c>
      <c r="B50">
        <v>79</v>
      </c>
      <c r="C50" t="s">
        <v>10</v>
      </c>
      <c r="D50" t="s">
        <v>21</v>
      </c>
      <c r="E50" t="s">
        <v>18</v>
      </c>
      <c r="F50">
        <v>14</v>
      </c>
      <c r="G50" t="s">
        <v>22</v>
      </c>
      <c r="H50">
        <v>9</v>
      </c>
      <c r="I50">
        <v>5</v>
      </c>
      <c r="J50">
        <v>72</v>
      </c>
      <c r="K50">
        <f t="shared" si="0"/>
        <v>4</v>
      </c>
      <c r="L50" t="str">
        <f t="shared" si="1"/>
        <v>Medium</v>
      </c>
    </row>
    <row r="51" spans="1:12" x14ac:dyDescent="0.3">
      <c r="A51">
        <v>50</v>
      </c>
      <c r="B51">
        <v>68</v>
      </c>
      <c r="C51" t="s">
        <v>16</v>
      </c>
      <c r="D51" t="s">
        <v>11</v>
      </c>
      <c r="E51" t="s">
        <v>12</v>
      </c>
      <c r="F51">
        <v>19</v>
      </c>
      <c r="G51" t="s">
        <v>13</v>
      </c>
      <c r="H51">
        <v>9</v>
      </c>
      <c r="I51">
        <v>2</v>
      </c>
      <c r="J51">
        <v>82</v>
      </c>
      <c r="K51">
        <f t="shared" si="0"/>
        <v>7</v>
      </c>
      <c r="L51" t="str">
        <f t="shared" si="1"/>
        <v>High</v>
      </c>
    </row>
    <row r="52" spans="1:12" x14ac:dyDescent="0.3">
      <c r="A52">
        <v>51</v>
      </c>
      <c r="B52">
        <v>61</v>
      </c>
      <c r="C52" t="s">
        <v>16</v>
      </c>
      <c r="D52" t="s">
        <v>17</v>
      </c>
      <c r="E52" t="s">
        <v>15</v>
      </c>
      <c r="F52">
        <v>15</v>
      </c>
      <c r="G52" t="s">
        <v>13</v>
      </c>
      <c r="H52">
        <v>6</v>
      </c>
      <c r="I52">
        <v>0</v>
      </c>
      <c r="J52">
        <v>42</v>
      </c>
      <c r="K52">
        <f t="shared" si="0"/>
        <v>6</v>
      </c>
      <c r="L52" t="str">
        <f t="shared" si="1"/>
        <v>Medium</v>
      </c>
    </row>
    <row r="53" spans="1:12" x14ac:dyDescent="0.3">
      <c r="A53">
        <v>52</v>
      </c>
      <c r="B53">
        <v>72</v>
      </c>
      <c r="C53" t="s">
        <v>10</v>
      </c>
      <c r="D53" t="s">
        <v>11</v>
      </c>
      <c r="E53" t="s">
        <v>18</v>
      </c>
      <c r="F53">
        <v>22</v>
      </c>
      <c r="G53" t="s">
        <v>19</v>
      </c>
      <c r="H53">
        <v>7</v>
      </c>
      <c r="I53">
        <v>0</v>
      </c>
      <c r="J53">
        <v>50</v>
      </c>
      <c r="K53">
        <f t="shared" si="0"/>
        <v>7</v>
      </c>
      <c r="L53" t="str">
        <f t="shared" si="1"/>
        <v>High</v>
      </c>
    </row>
    <row r="54" spans="1:12" x14ac:dyDescent="0.3">
      <c r="A54">
        <v>53</v>
      </c>
      <c r="B54">
        <v>69</v>
      </c>
      <c r="C54" t="s">
        <v>16</v>
      </c>
      <c r="D54" t="s">
        <v>21</v>
      </c>
      <c r="E54" t="s">
        <v>18</v>
      </c>
      <c r="F54">
        <v>6</v>
      </c>
      <c r="G54" t="s">
        <v>22</v>
      </c>
      <c r="H54">
        <v>7</v>
      </c>
      <c r="I54">
        <v>3</v>
      </c>
      <c r="J54">
        <v>98</v>
      </c>
      <c r="K54">
        <f t="shared" si="0"/>
        <v>4</v>
      </c>
      <c r="L54" t="str">
        <f t="shared" si="1"/>
        <v>Low</v>
      </c>
    </row>
    <row r="55" spans="1:12" x14ac:dyDescent="0.3">
      <c r="A55">
        <v>54</v>
      </c>
      <c r="B55">
        <v>74</v>
      </c>
      <c r="C55" t="s">
        <v>16</v>
      </c>
      <c r="D55" t="s">
        <v>14</v>
      </c>
      <c r="E55" t="s">
        <v>12</v>
      </c>
      <c r="F55">
        <v>12</v>
      </c>
      <c r="G55" t="s">
        <v>22</v>
      </c>
      <c r="H55">
        <v>8</v>
      </c>
      <c r="I55">
        <v>0</v>
      </c>
      <c r="J55">
        <v>57</v>
      </c>
      <c r="K55">
        <f t="shared" si="0"/>
        <v>8</v>
      </c>
      <c r="L55" t="str">
        <f t="shared" si="1"/>
        <v>Medium</v>
      </c>
    </row>
    <row r="56" spans="1:12" x14ac:dyDescent="0.3">
      <c r="A56">
        <v>55</v>
      </c>
      <c r="B56">
        <v>20</v>
      </c>
      <c r="C56" t="s">
        <v>10</v>
      </c>
      <c r="D56" t="s">
        <v>17</v>
      </c>
      <c r="E56" t="s">
        <v>15</v>
      </c>
      <c r="F56">
        <v>5</v>
      </c>
      <c r="G56" t="s">
        <v>22</v>
      </c>
      <c r="H56">
        <v>9</v>
      </c>
      <c r="I56">
        <v>5</v>
      </c>
      <c r="J56">
        <v>22</v>
      </c>
      <c r="K56">
        <f t="shared" si="0"/>
        <v>4</v>
      </c>
      <c r="L56" t="str">
        <f t="shared" si="1"/>
        <v>Low</v>
      </c>
    </row>
    <row r="57" spans="1:12" x14ac:dyDescent="0.3">
      <c r="A57">
        <v>56</v>
      </c>
      <c r="B57">
        <v>54</v>
      </c>
      <c r="C57" t="s">
        <v>16</v>
      </c>
      <c r="D57" t="s">
        <v>14</v>
      </c>
      <c r="E57" t="s">
        <v>15</v>
      </c>
      <c r="F57">
        <v>11</v>
      </c>
      <c r="G57" t="s">
        <v>22</v>
      </c>
      <c r="H57">
        <v>5</v>
      </c>
      <c r="I57">
        <v>5</v>
      </c>
      <c r="J57">
        <v>82</v>
      </c>
      <c r="K57">
        <f t="shared" si="0"/>
        <v>0</v>
      </c>
      <c r="L57" t="str">
        <f t="shared" si="1"/>
        <v>Medium</v>
      </c>
    </row>
    <row r="58" spans="1:12" x14ac:dyDescent="0.3">
      <c r="A58">
        <v>57</v>
      </c>
      <c r="B58">
        <v>68</v>
      </c>
      <c r="C58" t="s">
        <v>16</v>
      </c>
      <c r="D58" t="s">
        <v>14</v>
      </c>
      <c r="E58" t="s">
        <v>18</v>
      </c>
      <c r="F58">
        <v>15</v>
      </c>
      <c r="G58" t="s">
        <v>19</v>
      </c>
      <c r="H58">
        <v>9</v>
      </c>
      <c r="I58">
        <v>5</v>
      </c>
      <c r="J58">
        <v>86</v>
      </c>
      <c r="K58">
        <f t="shared" si="0"/>
        <v>4</v>
      </c>
      <c r="L58" t="str">
        <f t="shared" si="1"/>
        <v>Medium</v>
      </c>
    </row>
    <row r="59" spans="1:12" x14ac:dyDescent="0.3">
      <c r="A59">
        <v>58</v>
      </c>
      <c r="B59">
        <v>24</v>
      </c>
      <c r="C59" t="s">
        <v>10</v>
      </c>
      <c r="D59" t="s">
        <v>17</v>
      </c>
      <c r="E59" t="s">
        <v>18</v>
      </c>
      <c r="F59">
        <v>20</v>
      </c>
      <c r="G59" t="s">
        <v>19</v>
      </c>
      <c r="H59">
        <v>9</v>
      </c>
      <c r="I59">
        <v>3</v>
      </c>
      <c r="J59">
        <v>40</v>
      </c>
      <c r="K59">
        <f t="shared" si="0"/>
        <v>6</v>
      </c>
      <c r="L59" t="str">
        <f t="shared" si="1"/>
        <v>High</v>
      </c>
    </row>
    <row r="60" spans="1:12" x14ac:dyDescent="0.3">
      <c r="A60">
        <v>59</v>
      </c>
      <c r="B60">
        <v>38</v>
      </c>
      <c r="C60" t="s">
        <v>10</v>
      </c>
      <c r="D60" t="s">
        <v>11</v>
      </c>
      <c r="E60" t="s">
        <v>12</v>
      </c>
      <c r="F60">
        <v>17</v>
      </c>
      <c r="G60" t="s">
        <v>13</v>
      </c>
      <c r="H60">
        <v>8</v>
      </c>
      <c r="I60">
        <v>3</v>
      </c>
      <c r="J60">
        <v>114</v>
      </c>
      <c r="K60">
        <f t="shared" si="0"/>
        <v>5</v>
      </c>
      <c r="L60" t="str">
        <f t="shared" si="1"/>
        <v>High</v>
      </c>
    </row>
    <row r="61" spans="1:12" x14ac:dyDescent="0.3">
      <c r="A61">
        <v>60</v>
      </c>
      <c r="B61">
        <v>26</v>
      </c>
      <c r="C61" t="s">
        <v>16</v>
      </c>
      <c r="D61" t="s">
        <v>14</v>
      </c>
      <c r="E61" t="s">
        <v>12</v>
      </c>
      <c r="F61">
        <v>6</v>
      </c>
      <c r="G61" t="s">
        <v>13</v>
      </c>
      <c r="H61">
        <v>5</v>
      </c>
      <c r="I61">
        <v>0</v>
      </c>
      <c r="J61">
        <v>84</v>
      </c>
      <c r="K61">
        <f t="shared" si="0"/>
        <v>5</v>
      </c>
      <c r="L61" t="str">
        <f t="shared" si="1"/>
        <v>Low</v>
      </c>
    </row>
    <row r="62" spans="1:12" x14ac:dyDescent="0.3">
      <c r="A62">
        <v>61</v>
      </c>
      <c r="B62">
        <v>56</v>
      </c>
      <c r="C62" t="s">
        <v>16</v>
      </c>
      <c r="D62" t="s">
        <v>21</v>
      </c>
      <c r="E62" t="s">
        <v>15</v>
      </c>
      <c r="F62">
        <v>17</v>
      </c>
      <c r="G62" t="s">
        <v>13</v>
      </c>
      <c r="H62">
        <v>8</v>
      </c>
      <c r="I62">
        <v>1</v>
      </c>
      <c r="J62">
        <v>77</v>
      </c>
      <c r="K62">
        <f t="shared" si="0"/>
        <v>7</v>
      </c>
      <c r="L62" t="str">
        <f t="shared" si="1"/>
        <v>High</v>
      </c>
    </row>
    <row r="63" spans="1:12" x14ac:dyDescent="0.3">
      <c r="A63">
        <v>62</v>
      </c>
      <c r="B63">
        <v>35</v>
      </c>
      <c r="C63" t="s">
        <v>10</v>
      </c>
      <c r="D63" t="s">
        <v>14</v>
      </c>
      <c r="E63" t="s">
        <v>20</v>
      </c>
      <c r="F63">
        <v>24</v>
      </c>
      <c r="G63" t="s">
        <v>13</v>
      </c>
      <c r="H63">
        <v>5</v>
      </c>
      <c r="I63">
        <v>1</v>
      </c>
      <c r="J63">
        <v>107</v>
      </c>
      <c r="K63">
        <f t="shared" si="0"/>
        <v>4</v>
      </c>
      <c r="L63" t="str">
        <f t="shared" si="1"/>
        <v>High</v>
      </c>
    </row>
    <row r="64" spans="1:12" x14ac:dyDescent="0.3">
      <c r="A64">
        <v>63</v>
      </c>
      <c r="B64">
        <v>21</v>
      </c>
      <c r="C64" t="s">
        <v>10</v>
      </c>
      <c r="D64" t="s">
        <v>17</v>
      </c>
      <c r="E64" t="s">
        <v>15</v>
      </c>
      <c r="F64">
        <v>4</v>
      </c>
      <c r="G64" t="s">
        <v>19</v>
      </c>
      <c r="H64">
        <v>6</v>
      </c>
      <c r="I64">
        <v>3</v>
      </c>
      <c r="J64">
        <v>111</v>
      </c>
      <c r="K64">
        <f t="shared" si="0"/>
        <v>3</v>
      </c>
      <c r="L64" t="str">
        <f t="shared" si="1"/>
        <v>Low</v>
      </c>
    </row>
    <row r="65" spans="1:12" x14ac:dyDescent="0.3">
      <c r="A65">
        <v>64</v>
      </c>
      <c r="B65">
        <v>42</v>
      </c>
      <c r="C65" t="s">
        <v>10</v>
      </c>
      <c r="D65" t="s">
        <v>17</v>
      </c>
      <c r="E65" t="s">
        <v>18</v>
      </c>
      <c r="F65">
        <v>17</v>
      </c>
      <c r="G65" t="s">
        <v>22</v>
      </c>
      <c r="H65">
        <v>5</v>
      </c>
      <c r="I65">
        <v>0</v>
      </c>
      <c r="J65">
        <v>119</v>
      </c>
      <c r="K65">
        <f t="shared" si="0"/>
        <v>5</v>
      </c>
      <c r="L65" t="str">
        <f t="shared" si="1"/>
        <v>High</v>
      </c>
    </row>
    <row r="66" spans="1:12" x14ac:dyDescent="0.3">
      <c r="A66">
        <v>65</v>
      </c>
      <c r="B66">
        <v>77</v>
      </c>
      <c r="C66" t="s">
        <v>10</v>
      </c>
      <c r="D66" t="s">
        <v>17</v>
      </c>
      <c r="E66" t="s">
        <v>15</v>
      </c>
      <c r="F66">
        <v>10</v>
      </c>
      <c r="G66" t="s">
        <v>19</v>
      </c>
      <c r="H66">
        <v>8</v>
      </c>
      <c r="I66">
        <v>1</v>
      </c>
      <c r="J66">
        <v>13</v>
      </c>
      <c r="K66">
        <f t="shared" si="0"/>
        <v>7</v>
      </c>
      <c r="L66" t="str">
        <f t="shared" si="1"/>
        <v>Medium</v>
      </c>
    </row>
    <row r="67" spans="1:12" x14ac:dyDescent="0.3">
      <c r="A67">
        <v>66</v>
      </c>
      <c r="B67">
        <v>31</v>
      </c>
      <c r="C67" t="s">
        <v>16</v>
      </c>
      <c r="D67" t="s">
        <v>11</v>
      </c>
      <c r="E67" t="s">
        <v>20</v>
      </c>
      <c r="F67">
        <v>10</v>
      </c>
      <c r="G67" t="s">
        <v>13</v>
      </c>
      <c r="H67">
        <v>9</v>
      </c>
      <c r="I67">
        <v>0</v>
      </c>
      <c r="J67">
        <v>111</v>
      </c>
      <c r="K67">
        <f t="shared" ref="K67:K130" si="2">H:H-I:I</f>
        <v>9</v>
      </c>
      <c r="L67" t="str">
        <f t="shared" ref="L67:L130" si="3">IF(F:F&lt;=8, "Low", IF(F:F&gt;=17, "High", "Medium"))</f>
        <v>Medium</v>
      </c>
    </row>
    <row r="68" spans="1:12" x14ac:dyDescent="0.3">
      <c r="A68">
        <v>67</v>
      </c>
      <c r="B68">
        <v>67</v>
      </c>
      <c r="C68" t="s">
        <v>10</v>
      </c>
      <c r="D68" t="s">
        <v>14</v>
      </c>
      <c r="E68" t="s">
        <v>12</v>
      </c>
      <c r="F68">
        <v>19</v>
      </c>
      <c r="G68" t="s">
        <v>19</v>
      </c>
      <c r="H68">
        <v>5</v>
      </c>
      <c r="I68">
        <v>0</v>
      </c>
      <c r="J68">
        <v>28</v>
      </c>
      <c r="K68">
        <f t="shared" si="2"/>
        <v>5</v>
      </c>
      <c r="L68" t="str">
        <f t="shared" si="3"/>
        <v>High</v>
      </c>
    </row>
    <row r="69" spans="1:12" x14ac:dyDescent="0.3">
      <c r="A69">
        <v>68</v>
      </c>
      <c r="B69">
        <v>75</v>
      </c>
      <c r="C69" t="s">
        <v>10</v>
      </c>
      <c r="D69" t="s">
        <v>11</v>
      </c>
      <c r="E69" t="s">
        <v>20</v>
      </c>
      <c r="F69">
        <v>14</v>
      </c>
      <c r="G69" t="s">
        <v>22</v>
      </c>
      <c r="H69">
        <v>5</v>
      </c>
      <c r="I69">
        <v>0</v>
      </c>
      <c r="J69">
        <v>79</v>
      </c>
      <c r="K69">
        <f t="shared" si="2"/>
        <v>5</v>
      </c>
      <c r="L69" t="str">
        <f t="shared" si="3"/>
        <v>Medium</v>
      </c>
    </row>
    <row r="70" spans="1:12" x14ac:dyDescent="0.3">
      <c r="A70">
        <v>69</v>
      </c>
      <c r="B70">
        <v>26</v>
      </c>
      <c r="C70" t="s">
        <v>16</v>
      </c>
      <c r="D70" t="s">
        <v>11</v>
      </c>
      <c r="E70" t="s">
        <v>20</v>
      </c>
      <c r="F70">
        <v>21</v>
      </c>
      <c r="G70" t="s">
        <v>22</v>
      </c>
      <c r="H70">
        <v>7</v>
      </c>
      <c r="I70">
        <v>4</v>
      </c>
      <c r="J70">
        <v>107</v>
      </c>
      <c r="K70">
        <f t="shared" si="2"/>
        <v>3</v>
      </c>
      <c r="L70" t="str">
        <f t="shared" si="3"/>
        <v>High</v>
      </c>
    </row>
    <row r="71" spans="1:12" x14ac:dyDescent="0.3">
      <c r="A71">
        <v>70</v>
      </c>
      <c r="B71">
        <v>43</v>
      </c>
      <c r="C71" t="s">
        <v>10</v>
      </c>
      <c r="D71" t="s">
        <v>17</v>
      </c>
      <c r="E71" t="s">
        <v>20</v>
      </c>
      <c r="F71">
        <v>12</v>
      </c>
      <c r="G71" t="s">
        <v>19</v>
      </c>
      <c r="H71">
        <v>9</v>
      </c>
      <c r="I71">
        <v>5</v>
      </c>
      <c r="J71">
        <v>91</v>
      </c>
      <c r="K71">
        <f t="shared" si="2"/>
        <v>4</v>
      </c>
      <c r="L71" t="str">
        <f t="shared" si="3"/>
        <v>Medium</v>
      </c>
    </row>
    <row r="72" spans="1:12" x14ac:dyDescent="0.3">
      <c r="A72">
        <v>71</v>
      </c>
      <c r="B72">
        <v>70</v>
      </c>
      <c r="C72" t="s">
        <v>16</v>
      </c>
      <c r="D72" t="s">
        <v>17</v>
      </c>
      <c r="E72" t="s">
        <v>12</v>
      </c>
      <c r="F72">
        <v>11</v>
      </c>
      <c r="G72" t="s">
        <v>19</v>
      </c>
      <c r="H72">
        <v>6</v>
      </c>
      <c r="I72">
        <v>0</v>
      </c>
      <c r="J72">
        <v>22</v>
      </c>
      <c r="K72">
        <f t="shared" si="2"/>
        <v>6</v>
      </c>
      <c r="L72" t="str">
        <f t="shared" si="3"/>
        <v>Medium</v>
      </c>
    </row>
    <row r="73" spans="1:12" x14ac:dyDescent="0.3">
      <c r="A73">
        <v>72</v>
      </c>
      <c r="B73">
        <v>19</v>
      </c>
      <c r="C73" t="s">
        <v>10</v>
      </c>
      <c r="D73" t="s">
        <v>11</v>
      </c>
      <c r="E73" t="s">
        <v>20</v>
      </c>
      <c r="F73">
        <v>7</v>
      </c>
      <c r="G73" t="s">
        <v>19</v>
      </c>
      <c r="H73">
        <v>8</v>
      </c>
      <c r="I73">
        <v>4</v>
      </c>
      <c r="J73">
        <v>114</v>
      </c>
      <c r="K73">
        <f t="shared" si="2"/>
        <v>4</v>
      </c>
      <c r="L73" t="str">
        <f t="shared" si="3"/>
        <v>Low</v>
      </c>
    </row>
    <row r="74" spans="1:12" x14ac:dyDescent="0.3">
      <c r="A74">
        <v>73</v>
      </c>
      <c r="B74">
        <v>37</v>
      </c>
      <c r="C74" t="s">
        <v>10</v>
      </c>
      <c r="D74" t="s">
        <v>14</v>
      </c>
      <c r="E74" t="s">
        <v>20</v>
      </c>
      <c r="F74">
        <v>8</v>
      </c>
      <c r="G74" t="s">
        <v>13</v>
      </c>
      <c r="H74">
        <v>6</v>
      </c>
      <c r="I74">
        <v>3</v>
      </c>
      <c r="J74">
        <v>32</v>
      </c>
      <c r="K74">
        <f t="shared" si="2"/>
        <v>3</v>
      </c>
      <c r="L74" t="str">
        <f t="shared" si="3"/>
        <v>Low</v>
      </c>
    </row>
    <row r="75" spans="1:12" x14ac:dyDescent="0.3">
      <c r="A75">
        <v>74</v>
      </c>
      <c r="B75">
        <v>45</v>
      </c>
      <c r="C75" t="s">
        <v>10</v>
      </c>
      <c r="D75" t="s">
        <v>21</v>
      </c>
      <c r="E75" t="s">
        <v>20</v>
      </c>
      <c r="F75">
        <v>22</v>
      </c>
      <c r="G75" t="s">
        <v>19</v>
      </c>
      <c r="H75">
        <v>9</v>
      </c>
      <c r="I75">
        <v>1</v>
      </c>
      <c r="J75">
        <v>92</v>
      </c>
      <c r="K75">
        <f t="shared" si="2"/>
        <v>8</v>
      </c>
      <c r="L75" t="str">
        <f t="shared" si="3"/>
        <v>High</v>
      </c>
    </row>
    <row r="76" spans="1:12" x14ac:dyDescent="0.3">
      <c r="A76">
        <v>75</v>
      </c>
      <c r="B76">
        <v>64</v>
      </c>
      <c r="C76" t="s">
        <v>16</v>
      </c>
      <c r="D76" t="s">
        <v>11</v>
      </c>
      <c r="E76" t="s">
        <v>18</v>
      </c>
      <c r="F76">
        <v>4</v>
      </c>
      <c r="G76" t="s">
        <v>19</v>
      </c>
      <c r="H76">
        <v>5</v>
      </c>
      <c r="I76">
        <v>5</v>
      </c>
      <c r="J76">
        <v>118</v>
      </c>
      <c r="K76">
        <f t="shared" si="2"/>
        <v>0</v>
      </c>
      <c r="L76" t="str">
        <f t="shared" si="3"/>
        <v>Low</v>
      </c>
    </row>
    <row r="77" spans="1:12" x14ac:dyDescent="0.3">
      <c r="A77">
        <v>76</v>
      </c>
      <c r="B77">
        <v>77</v>
      </c>
      <c r="C77" t="s">
        <v>16</v>
      </c>
      <c r="D77" t="s">
        <v>14</v>
      </c>
      <c r="E77" t="s">
        <v>20</v>
      </c>
      <c r="F77">
        <v>15</v>
      </c>
      <c r="G77" t="s">
        <v>19</v>
      </c>
      <c r="H77">
        <v>5</v>
      </c>
      <c r="I77">
        <v>1</v>
      </c>
      <c r="J77">
        <v>84</v>
      </c>
      <c r="K77">
        <f t="shared" si="2"/>
        <v>4</v>
      </c>
      <c r="L77" t="str">
        <f t="shared" si="3"/>
        <v>Medium</v>
      </c>
    </row>
    <row r="78" spans="1:12" x14ac:dyDescent="0.3">
      <c r="A78">
        <v>77</v>
      </c>
      <c r="B78">
        <v>24</v>
      </c>
      <c r="C78" t="s">
        <v>10</v>
      </c>
      <c r="D78" t="s">
        <v>17</v>
      </c>
      <c r="E78" t="s">
        <v>12</v>
      </c>
      <c r="F78">
        <v>8</v>
      </c>
      <c r="G78" t="s">
        <v>22</v>
      </c>
      <c r="H78">
        <v>9</v>
      </c>
      <c r="I78">
        <v>5</v>
      </c>
      <c r="J78">
        <v>10</v>
      </c>
      <c r="K78">
        <f t="shared" si="2"/>
        <v>4</v>
      </c>
      <c r="L78" t="str">
        <f t="shared" si="3"/>
        <v>Low</v>
      </c>
    </row>
    <row r="79" spans="1:12" x14ac:dyDescent="0.3">
      <c r="A79">
        <v>78</v>
      </c>
      <c r="B79">
        <v>61</v>
      </c>
      <c r="C79" t="s">
        <v>16</v>
      </c>
      <c r="D79" t="s">
        <v>17</v>
      </c>
      <c r="E79" t="s">
        <v>20</v>
      </c>
      <c r="F79">
        <v>7</v>
      </c>
      <c r="G79" t="s">
        <v>22</v>
      </c>
      <c r="H79">
        <v>5</v>
      </c>
      <c r="I79">
        <v>1</v>
      </c>
      <c r="J79">
        <v>97</v>
      </c>
      <c r="K79">
        <f t="shared" si="2"/>
        <v>4</v>
      </c>
      <c r="L79" t="str">
        <f t="shared" si="3"/>
        <v>Low</v>
      </c>
    </row>
    <row r="80" spans="1:12" x14ac:dyDescent="0.3">
      <c r="A80">
        <v>79</v>
      </c>
      <c r="B80">
        <v>78</v>
      </c>
      <c r="C80" t="s">
        <v>16</v>
      </c>
      <c r="D80" t="s">
        <v>14</v>
      </c>
      <c r="E80" t="s">
        <v>20</v>
      </c>
      <c r="F80">
        <v>3</v>
      </c>
      <c r="G80" t="s">
        <v>13</v>
      </c>
      <c r="H80">
        <v>5</v>
      </c>
      <c r="I80">
        <v>5</v>
      </c>
      <c r="J80">
        <v>63</v>
      </c>
      <c r="K80">
        <f t="shared" si="2"/>
        <v>0</v>
      </c>
      <c r="L80" t="str">
        <f t="shared" si="3"/>
        <v>Low</v>
      </c>
    </row>
    <row r="81" spans="1:12" x14ac:dyDescent="0.3">
      <c r="A81">
        <v>80</v>
      </c>
      <c r="B81">
        <v>25</v>
      </c>
      <c r="C81" t="s">
        <v>16</v>
      </c>
      <c r="D81" t="s">
        <v>21</v>
      </c>
      <c r="E81" t="s">
        <v>12</v>
      </c>
      <c r="F81">
        <v>23</v>
      </c>
      <c r="G81" t="s">
        <v>13</v>
      </c>
      <c r="H81">
        <v>5</v>
      </c>
      <c r="I81">
        <v>1</v>
      </c>
      <c r="J81">
        <v>80</v>
      </c>
      <c r="K81">
        <f t="shared" si="2"/>
        <v>4</v>
      </c>
      <c r="L81" t="str">
        <f t="shared" si="3"/>
        <v>High</v>
      </c>
    </row>
    <row r="82" spans="1:12" x14ac:dyDescent="0.3">
      <c r="A82">
        <v>81</v>
      </c>
      <c r="B82">
        <v>64</v>
      </c>
      <c r="C82" t="s">
        <v>16</v>
      </c>
      <c r="D82" t="s">
        <v>17</v>
      </c>
      <c r="E82" t="s">
        <v>20</v>
      </c>
      <c r="F82">
        <v>24</v>
      </c>
      <c r="G82" t="s">
        <v>22</v>
      </c>
      <c r="H82">
        <v>8</v>
      </c>
      <c r="I82">
        <v>1</v>
      </c>
      <c r="J82">
        <v>98</v>
      </c>
      <c r="K82">
        <f t="shared" si="2"/>
        <v>7</v>
      </c>
      <c r="L82" t="str">
        <f t="shared" si="3"/>
        <v>High</v>
      </c>
    </row>
    <row r="83" spans="1:12" x14ac:dyDescent="0.3">
      <c r="A83">
        <v>82</v>
      </c>
      <c r="B83">
        <v>52</v>
      </c>
      <c r="C83" t="s">
        <v>16</v>
      </c>
      <c r="D83" t="s">
        <v>17</v>
      </c>
      <c r="E83" t="s">
        <v>12</v>
      </c>
      <c r="F83">
        <v>23</v>
      </c>
      <c r="G83" t="s">
        <v>22</v>
      </c>
      <c r="H83">
        <v>8</v>
      </c>
      <c r="I83">
        <v>1</v>
      </c>
      <c r="J83">
        <v>94</v>
      </c>
      <c r="K83">
        <f t="shared" si="2"/>
        <v>7</v>
      </c>
      <c r="L83" t="str">
        <f t="shared" si="3"/>
        <v>High</v>
      </c>
    </row>
    <row r="84" spans="1:12" x14ac:dyDescent="0.3">
      <c r="A84">
        <v>83</v>
      </c>
      <c r="B84">
        <v>31</v>
      </c>
      <c r="C84" t="s">
        <v>16</v>
      </c>
      <c r="D84" t="s">
        <v>17</v>
      </c>
      <c r="E84" t="s">
        <v>20</v>
      </c>
      <c r="F84">
        <v>8</v>
      </c>
      <c r="G84" t="s">
        <v>22</v>
      </c>
      <c r="H84">
        <v>7</v>
      </c>
      <c r="I84">
        <v>1</v>
      </c>
      <c r="J84">
        <v>24</v>
      </c>
      <c r="K84">
        <f t="shared" si="2"/>
        <v>6</v>
      </c>
      <c r="L84" t="str">
        <f t="shared" si="3"/>
        <v>Low</v>
      </c>
    </row>
    <row r="85" spans="1:12" x14ac:dyDescent="0.3">
      <c r="A85">
        <v>84</v>
      </c>
      <c r="B85">
        <v>34</v>
      </c>
      <c r="C85" t="s">
        <v>10</v>
      </c>
      <c r="D85" t="s">
        <v>14</v>
      </c>
      <c r="E85" t="s">
        <v>12</v>
      </c>
      <c r="F85">
        <v>8</v>
      </c>
      <c r="G85" t="s">
        <v>19</v>
      </c>
      <c r="H85">
        <v>6</v>
      </c>
      <c r="I85">
        <v>3</v>
      </c>
      <c r="J85">
        <v>74</v>
      </c>
      <c r="K85">
        <f t="shared" si="2"/>
        <v>3</v>
      </c>
      <c r="L85" t="str">
        <f t="shared" si="3"/>
        <v>Low</v>
      </c>
    </row>
    <row r="86" spans="1:12" x14ac:dyDescent="0.3">
      <c r="A86">
        <v>85</v>
      </c>
      <c r="B86">
        <v>53</v>
      </c>
      <c r="C86" t="s">
        <v>10</v>
      </c>
      <c r="D86" t="s">
        <v>11</v>
      </c>
      <c r="E86" t="s">
        <v>20</v>
      </c>
      <c r="F86">
        <v>18</v>
      </c>
      <c r="G86" t="s">
        <v>19</v>
      </c>
      <c r="H86">
        <v>9</v>
      </c>
      <c r="I86">
        <v>0</v>
      </c>
      <c r="J86">
        <v>85</v>
      </c>
      <c r="K86">
        <f t="shared" si="2"/>
        <v>9</v>
      </c>
      <c r="L86" t="str">
        <f t="shared" si="3"/>
        <v>High</v>
      </c>
    </row>
    <row r="87" spans="1:12" x14ac:dyDescent="0.3">
      <c r="A87">
        <v>86</v>
      </c>
      <c r="B87">
        <v>67</v>
      </c>
      <c r="C87" t="s">
        <v>16</v>
      </c>
      <c r="D87" t="s">
        <v>17</v>
      </c>
      <c r="E87" t="s">
        <v>20</v>
      </c>
      <c r="F87">
        <v>6</v>
      </c>
      <c r="G87" t="s">
        <v>22</v>
      </c>
      <c r="H87">
        <v>9</v>
      </c>
      <c r="I87">
        <v>2</v>
      </c>
      <c r="J87">
        <v>80</v>
      </c>
      <c r="K87">
        <f t="shared" si="2"/>
        <v>7</v>
      </c>
      <c r="L87" t="str">
        <f t="shared" si="3"/>
        <v>Low</v>
      </c>
    </row>
    <row r="88" spans="1:12" x14ac:dyDescent="0.3">
      <c r="A88">
        <v>87</v>
      </c>
      <c r="B88">
        <v>57</v>
      </c>
      <c r="C88" t="s">
        <v>10</v>
      </c>
      <c r="D88" t="s">
        <v>11</v>
      </c>
      <c r="E88" t="s">
        <v>18</v>
      </c>
      <c r="F88">
        <v>13</v>
      </c>
      <c r="G88" t="s">
        <v>19</v>
      </c>
      <c r="H88">
        <v>9</v>
      </c>
      <c r="I88">
        <v>4</v>
      </c>
      <c r="J88">
        <v>24</v>
      </c>
      <c r="K88">
        <f t="shared" si="2"/>
        <v>5</v>
      </c>
      <c r="L88" t="str">
        <f t="shared" si="3"/>
        <v>Medium</v>
      </c>
    </row>
    <row r="89" spans="1:12" x14ac:dyDescent="0.3">
      <c r="A89">
        <v>88</v>
      </c>
      <c r="B89">
        <v>21</v>
      </c>
      <c r="C89" t="s">
        <v>10</v>
      </c>
      <c r="D89" t="s">
        <v>21</v>
      </c>
      <c r="E89" t="s">
        <v>18</v>
      </c>
      <c r="F89">
        <v>11</v>
      </c>
      <c r="G89" t="s">
        <v>19</v>
      </c>
      <c r="H89">
        <v>7</v>
      </c>
      <c r="I89">
        <v>2</v>
      </c>
      <c r="J89">
        <v>30</v>
      </c>
      <c r="K89">
        <f t="shared" si="2"/>
        <v>5</v>
      </c>
      <c r="L89" t="str">
        <f t="shared" si="3"/>
        <v>Medium</v>
      </c>
    </row>
    <row r="90" spans="1:12" x14ac:dyDescent="0.3">
      <c r="A90">
        <v>89</v>
      </c>
      <c r="B90">
        <v>19</v>
      </c>
      <c r="C90" t="s">
        <v>10</v>
      </c>
      <c r="D90" t="s">
        <v>17</v>
      </c>
      <c r="E90" t="s">
        <v>20</v>
      </c>
      <c r="F90">
        <v>5</v>
      </c>
      <c r="G90" t="s">
        <v>13</v>
      </c>
      <c r="H90">
        <v>8</v>
      </c>
      <c r="I90">
        <v>2</v>
      </c>
      <c r="J90">
        <v>28</v>
      </c>
      <c r="K90">
        <f t="shared" si="2"/>
        <v>6</v>
      </c>
      <c r="L90" t="str">
        <f t="shared" si="3"/>
        <v>Low</v>
      </c>
    </row>
    <row r="91" spans="1:12" x14ac:dyDescent="0.3">
      <c r="A91">
        <v>90</v>
      </c>
      <c r="B91">
        <v>79</v>
      </c>
      <c r="C91" t="s">
        <v>10</v>
      </c>
      <c r="D91" t="s">
        <v>17</v>
      </c>
      <c r="E91" t="s">
        <v>20</v>
      </c>
      <c r="F91">
        <v>21</v>
      </c>
      <c r="G91" t="s">
        <v>22</v>
      </c>
      <c r="H91">
        <v>7</v>
      </c>
      <c r="I91">
        <v>5</v>
      </c>
      <c r="J91">
        <v>69</v>
      </c>
      <c r="K91">
        <f t="shared" si="2"/>
        <v>2</v>
      </c>
      <c r="L91" t="str">
        <f t="shared" si="3"/>
        <v>High</v>
      </c>
    </row>
    <row r="92" spans="1:12" x14ac:dyDescent="0.3">
      <c r="A92">
        <v>91</v>
      </c>
      <c r="B92">
        <v>23</v>
      </c>
      <c r="C92" t="s">
        <v>16</v>
      </c>
      <c r="D92" t="s">
        <v>21</v>
      </c>
      <c r="E92" t="s">
        <v>15</v>
      </c>
      <c r="F92">
        <v>10</v>
      </c>
      <c r="G92" t="s">
        <v>22</v>
      </c>
      <c r="H92">
        <v>9</v>
      </c>
      <c r="I92">
        <v>0</v>
      </c>
      <c r="J92">
        <v>102</v>
      </c>
      <c r="K92">
        <f t="shared" si="2"/>
        <v>9</v>
      </c>
      <c r="L92" t="str">
        <f t="shared" si="3"/>
        <v>Medium</v>
      </c>
    </row>
    <row r="93" spans="1:12" x14ac:dyDescent="0.3">
      <c r="A93">
        <v>92</v>
      </c>
      <c r="B93">
        <v>71</v>
      </c>
      <c r="C93" t="s">
        <v>10</v>
      </c>
      <c r="D93" t="s">
        <v>17</v>
      </c>
      <c r="E93" t="s">
        <v>12</v>
      </c>
      <c r="F93">
        <v>7</v>
      </c>
      <c r="G93" t="s">
        <v>19</v>
      </c>
      <c r="H93">
        <v>6</v>
      </c>
      <c r="I93">
        <v>5</v>
      </c>
      <c r="J93">
        <v>98</v>
      </c>
      <c r="K93">
        <f t="shared" si="2"/>
        <v>1</v>
      </c>
      <c r="L93" t="str">
        <f t="shared" si="3"/>
        <v>Low</v>
      </c>
    </row>
    <row r="94" spans="1:12" x14ac:dyDescent="0.3">
      <c r="A94">
        <v>93</v>
      </c>
      <c r="B94">
        <v>59</v>
      </c>
      <c r="C94" t="s">
        <v>10</v>
      </c>
      <c r="D94" t="s">
        <v>11</v>
      </c>
      <c r="E94" t="s">
        <v>15</v>
      </c>
      <c r="F94">
        <v>6</v>
      </c>
      <c r="G94" t="s">
        <v>22</v>
      </c>
      <c r="H94">
        <v>5</v>
      </c>
      <c r="I94">
        <v>0</v>
      </c>
      <c r="J94">
        <v>42</v>
      </c>
      <c r="K94">
        <f t="shared" si="2"/>
        <v>5</v>
      </c>
      <c r="L94" t="str">
        <f t="shared" si="3"/>
        <v>Low</v>
      </c>
    </row>
    <row r="95" spans="1:12" x14ac:dyDescent="0.3">
      <c r="A95">
        <v>94</v>
      </c>
      <c r="B95">
        <v>21</v>
      </c>
      <c r="C95" t="s">
        <v>16</v>
      </c>
      <c r="D95" t="s">
        <v>14</v>
      </c>
      <c r="E95" t="s">
        <v>18</v>
      </c>
      <c r="F95">
        <v>8</v>
      </c>
      <c r="G95" t="s">
        <v>13</v>
      </c>
      <c r="H95">
        <v>8</v>
      </c>
      <c r="I95">
        <v>0</v>
      </c>
      <c r="J95">
        <v>58</v>
      </c>
      <c r="K95">
        <f t="shared" si="2"/>
        <v>8</v>
      </c>
      <c r="L95" t="str">
        <f t="shared" si="3"/>
        <v>Low</v>
      </c>
    </row>
    <row r="96" spans="1:12" x14ac:dyDescent="0.3">
      <c r="A96">
        <v>95</v>
      </c>
      <c r="B96">
        <v>71</v>
      </c>
      <c r="C96" t="s">
        <v>16</v>
      </c>
      <c r="D96" t="s">
        <v>11</v>
      </c>
      <c r="E96" t="s">
        <v>18</v>
      </c>
      <c r="F96">
        <v>4</v>
      </c>
      <c r="G96" t="s">
        <v>13</v>
      </c>
      <c r="H96">
        <v>8</v>
      </c>
      <c r="I96">
        <v>1</v>
      </c>
      <c r="J96">
        <v>105</v>
      </c>
      <c r="K96">
        <f t="shared" si="2"/>
        <v>7</v>
      </c>
      <c r="L96" t="str">
        <f t="shared" si="3"/>
        <v>Low</v>
      </c>
    </row>
    <row r="97" spans="1:12" x14ac:dyDescent="0.3">
      <c r="A97">
        <v>96</v>
      </c>
      <c r="B97">
        <v>46</v>
      </c>
      <c r="C97" t="s">
        <v>10</v>
      </c>
      <c r="D97" t="s">
        <v>14</v>
      </c>
      <c r="E97" t="s">
        <v>18</v>
      </c>
      <c r="F97">
        <v>22</v>
      </c>
      <c r="G97" t="s">
        <v>13</v>
      </c>
      <c r="H97">
        <v>7</v>
      </c>
      <c r="I97">
        <v>3</v>
      </c>
      <c r="J97">
        <v>44</v>
      </c>
      <c r="K97">
        <f t="shared" si="2"/>
        <v>4</v>
      </c>
      <c r="L97" t="str">
        <f t="shared" si="3"/>
        <v>High</v>
      </c>
    </row>
    <row r="98" spans="1:12" x14ac:dyDescent="0.3">
      <c r="A98">
        <v>97</v>
      </c>
      <c r="B98">
        <v>35</v>
      </c>
      <c r="C98" t="s">
        <v>10</v>
      </c>
      <c r="D98" t="s">
        <v>14</v>
      </c>
      <c r="E98" t="s">
        <v>18</v>
      </c>
      <c r="F98">
        <v>13</v>
      </c>
      <c r="G98" t="s">
        <v>22</v>
      </c>
      <c r="H98">
        <v>8</v>
      </c>
      <c r="I98">
        <v>1</v>
      </c>
      <c r="J98">
        <v>53</v>
      </c>
      <c r="K98">
        <f t="shared" si="2"/>
        <v>7</v>
      </c>
      <c r="L98" t="str">
        <f t="shared" si="3"/>
        <v>Medium</v>
      </c>
    </row>
    <row r="99" spans="1:12" x14ac:dyDescent="0.3">
      <c r="A99">
        <v>98</v>
      </c>
      <c r="B99">
        <v>43</v>
      </c>
      <c r="C99" t="s">
        <v>10</v>
      </c>
      <c r="D99" t="s">
        <v>11</v>
      </c>
      <c r="E99" t="s">
        <v>20</v>
      </c>
      <c r="F99">
        <v>6</v>
      </c>
      <c r="G99" t="s">
        <v>22</v>
      </c>
      <c r="H99">
        <v>9</v>
      </c>
      <c r="I99">
        <v>3</v>
      </c>
      <c r="J99">
        <v>111</v>
      </c>
      <c r="K99">
        <f t="shared" si="2"/>
        <v>6</v>
      </c>
      <c r="L99" t="str">
        <f t="shared" si="3"/>
        <v>Low</v>
      </c>
    </row>
    <row r="100" spans="1:12" x14ac:dyDescent="0.3">
      <c r="A100">
        <v>99</v>
      </c>
      <c r="B100">
        <v>61</v>
      </c>
      <c r="C100" t="s">
        <v>10</v>
      </c>
      <c r="D100" t="s">
        <v>11</v>
      </c>
      <c r="E100" t="s">
        <v>18</v>
      </c>
      <c r="F100">
        <v>17</v>
      </c>
      <c r="G100" t="s">
        <v>22</v>
      </c>
      <c r="H100">
        <v>9</v>
      </c>
      <c r="I100">
        <v>5</v>
      </c>
      <c r="J100">
        <v>99</v>
      </c>
      <c r="K100">
        <f t="shared" si="2"/>
        <v>4</v>
      </c>
      <c r="L100" t="str">
        <f t="shared" si="3"/>
        <v>High</v>
      </c>
    </row>
    <row r="101" spans="1:12" x14ac:dyDescent="0.3">
      <c r="A101">
        <v>100</v>
      </c>
      <c r="B101">
        <v>51</v>
      </c>
      <c r="C101" t="s">
        <v>10</v>
      </c>
      <c r="D101" t="s">
        <v>11</v>
      </c>
      <c r="E101" t="s">
        <v>20</v>
      </c>
      <c r="F101">
        <v>8</v>
      </c>
      <c r="G101" t="s">
        <v>22</v>
      </c>
      <c r="H101">
        <v>7</v>
      </c>
      <c r="I101">
        <v>3</v>
      </c>
      <c r="J101">
        <v>20</v>
      </c>
      <c r="K101">
        <f t="shared" si="2"/>
        <v>4</v>
      </c>
      <c r="L101" t="str">
        <f t="shared" si="3"/>
        <v>Low</v>
      </c>
    </row>
    <row r="102" spans="1:12" x14ac:dyDescent="0.3">
      <c r="A102">
        <v>101</v>
      </c>
      <c r="B102">
        <v>27</v>
      </c>
      <c r="C102" t="s">
        <v>10</v>
      </c>
      <c r="D102" t="s">
        <v>11</v>
      </c>
      <c r="E102" t="s">
        <v>20</v>
      </c>
      <c r="F102">
        <v>24</v>
      </c>
      <c r="G102" t="s">
        <v>22</v>
      </c>
      <c r="H102">
        <v>9</v>
      </c>
      <c r="I102">
        <v>5</v>
      </c>
      <c r="J102">
        <v>108</v>
      </c>
      <c r="K102">
        <f t="shared" si="2"/>
        <v>4</v>
      </c>
      <c r="L102" t="str">
        <f t="shared" si="3"/>
        <v>High</v>
      </c>
    </row>
    <row r="103" spans="1:12" x14ac:dyDescent="0.3">
      <c r="A103">
        <v>102</v>
      </c>
      <c r="B103">
        <v>79</v>
      </c>
      <c r="C103" t="s">
        <v>16</v>
      </c>
      <c r="D103" t="s">
        <v>21</v>
      </c>
      <c r="E103" t="s">
        <v>18</v>
      </c>
      <c r="F103">
        <v>19</v>
      </c>
      <c r="G103" t="s">
        <v>13</v>
      </c>
      <c r="H103">
        <v>6</v>
      </c>
      <c r="I103">
        <v>2</v>
      </c>
      <c r="J103">
        <v>81</v>
      </c>
      <c r="K103">
        <f t="shared" si="2"/>
        <v>4</v>
      </c>
      <c r="L103" t="str">
        <f t="shared" si="3"/>
        <v>High</v>
      </c>
    </row>
    <row r="104" spans="1:12" x14ac:dyDescent="0.3">
      <c r="A104">
        <v>103</v>
      </c>
      <c r="B104">
        <v>53</v>
      </c>
      <c r="C104" t="s">
        <v>10</v>
      </c>
      <c r="D104" t="s">
        <v>17</v>
      </c>
      <c r="E104" t="s">
        <v>18</v>
      </c>
      <c r="F104">
        <v>8</v>
      </c>
      <c r="G104" t="s">
        <v>19</v>
      </c>
      <c r="H104">
        <v>7</v>
      </c>
      <c r="I104">
        <v>2</v>
      </c>
      <c r="J104">
        <v>119</v>
      </c>
      <c r="K104">
        <f t="shared" si="2"/>
        <v>5</v>
      </c>
      <c r="L104" t="str">
        <f t="shared" si="3"/>
        <v>Low</v>
      </c>
    </row>
    <row r="105" spans="1:12" x14ac:dyDescent="0.3">
      <c r="A105">
        <v>104</v>
      </c>
      <c r="B105">
        <v>31</v>
      </c>
      <c r="C105" t="s">
        <v>10</v>
      </c>
      <c r="D105" t="s">
        <v>14</v>
      </c>
      <c r="E105" t="s">
        <v>12</v>
      </c>
      <c r="F105">
        <v>21</v>
      </c>
      <c r="G105" t="s">
        <v>13</v>
      </c>
      <c r="H105">
        <v>6</v>
      </c>
      <c r="I105">
        <v>3</v>
      </c>
      <c r="J105">
        <v>87</v>
      </c>
      <c r="K105">
        <f t="shared" si="2"/>
        <v>3</v>
      </c>
      <c r="L105" t="str">
        <f t="shared" si="3"/>
        <v>High</v>
      </c>
    </row>
    <row r="106" spans="1:12" x14ac:dyDescent="0.3">
      <c r="A106">
        <v>105</v>
      </c>
      <c r="B106">
        <v>48</v>
      </c>
      <c r="C106" t="s">
        <v>16</v>
      </c>
      <c r="D106" t="s">
        <v>11</v>
      </c>
      <c r="E106" t="s">
        <v>15</v>
      </c>
      <c r="F106">
        <v>4</v>
      </c>
      <c r="G106" t="s">
        <v>22</v>
      </c>
      <c r="H106">
        <v>5</v>
      </c>
      <c r="I106">
        <v>3</v>
      </c>
      <c r="J106">
        <v>83</v>
      </c>
      <c r="K106">
        <f t="shared" si="2"/>
        <v>2</v>
      </c>
      <c r="L106" t="str">
        <f t="shared" si="3"/>
        <v>Low</v>
      </c>
    </row>
    <row r="107" spans="1:12" x14ac:dyDescent="0.3">
      <c r="A107">
        <v>106</v>
      </c>
      <c r="B107">
        <v>65</v>
      </c>
      <c r="C107" t="s">
        <v>16</v>
      </c>
      <c r="D107" t="s">
        <v>11</v>
      </c>
      <c r="E107" t="s">
        <v>18</v>
      </c>
      <c r="F107">
        <v>17</v>
      </c>
      <c r="G107" t="s">
        <v>13</v>
      </c>
      <c r="H107">
        <v>6</v>
      </c>
      <c r="I107">
        <v>5</v>
      </c>
      <c r="J107">
        <v>75</v>
      </c>
      <c r="K107">
        <f t="shared" si="2"/>
        <v>1</v>
      </c>
      <c r="L107" t="str">
        <f t="shared" si="3"/>
        <v>High</v>
      </c>
    </row>
    <row r="108" spans="1:12" x14ac:dyDescent="0.3">
      <c r="A108">
        <v>107</v>
      </c>
      <c r="B108">
        <v>32</v>
      </c>
      <c r="C108" t="s">
        <v>16</v>
      </c>
      <c r="D108" t="s">
        <v>11</v>
      </c>
      <c r="E108" t="s">
        <v>12</v>
      </c>
      <c r="F108">
        <v>13</v>
      </c>
      <c r="G108" t="s">
        <v>22</v>
      </c>
      <c r="H108">
        <v>5</v>
      </c>
      <c r="I108">
        <v>1</v>
      </c>
      <c r="J108">
        <v>55</v>
      </c>
      <c r="K108">
        <f t="shared" si="2"/>
        <v>4</v>
      </c>
      <c r="L108" t="str">
        <f t="shared" si="3"/>
        <v>Medium</v>
      </c>
    </row>
    <row r="109" spans="1:12" x14ac:dyDescent="0.3">
      <c r="A109">
        <v>108</v>
      </c>
      <c r="B109">
        <v>25</v>
      </c>
      <c r="C109" t="s">
        <v>16</v>
      </c>
      <c r="D109" t="s">
        <v>21</v>
      </c>
      <c r="E109" t="s">
        <v>12</v>
      </c>
      <c r="F109">
        <v>10</v>
      </c>
      <c r="G109" t="s">
        <v>22</v>
      </c>
      <c r="H109">
        <v>5</v>
      </c>
      <c r="I109">
        <v>5</v>
      </c>
      <c r="J109">
        <v>18</v>
      </c>
      <c r="K109">
        <f t="shared" si="2"/>
        <v>0</v>
      </c>
      <c r="L109" t="str">
        <f t="shared" si="3"/>
        <v>Medium</v>
      </c>
    </row>
    <row r="110" spans="1:12" x14ac:dyDescent="0.3">
      <c r="A110">
        <v>109</v>
      </c>
      <c r="B110">
        <v>31</v>
      </c>
      <c r="C110" t="s">
        <v>10</v>
      </c>
      <c r="D110" t="s">
        <v>11</v>
      </c>
      <c r="E110" t="s">
        <v>15</v>
      </c>
      <c r="F110">
        <v>21</v>
      </c>
      <c r="G110" t="s">
        <v>13</v>
      </c>
      <c r="H110">
        <v>6</v>
      </c>
      <c r="I110">
        <v>1</v>
      </c>
      <c r="J110">
        <v>12</v>
      </c>
      <c r="K110">
        <f t="shared" si="2"/>
        <v>5</v>
      </c>
      <c r="L110" t="str">
        <f t="shared" si="3"/>
        <v>High</v>
      </c>
    </row>
    <row r="111" spans="1:12" x14ac:dyDescent="0.3">
      <c r="A111">
        <v>110</v>
      </c>
      <c r="B111">
        <v>40</v>
      </c>
      <c r="C111" t="s">
        <v>10</v>
      </c>
      <c r="D111" t="s">
        <v>11</v>
      </c>
      <c r="E111" t="s">
        <v>20</v>
      </c>
      <c r="F111">
        <v>15</v>
      </c>
      <c r="G111" t="s">
        <v>22</v>
      </c>
      <c r="H111">
        <v>7</v>
      </c>
      <c r="I111">
        <v>2</v>
      </c>
      <c r="J111">
        <v>94</v>
      </c>
      <c r="K111">
        <f t="shared" si="2"/>
        <v>5</v>
      </c>
      <c r="L111" t="str">
        <f t="shared" si="3"/>
        <v>Medium</v>
      </c>
    </row>
    <row r="112" spans="1:12" x14ac:dyDescent="0.3">
      <c r="A112">
        <v>111</v>
      </c>
      <c r="B112">
        <v>77</v>
      </c>
      <c r="C112" t="s">
        <v>10</v>
      </c>
      <c r="D112" t="s">
        <v>11</v>
      </c>
      <c r="E112" t="s">
        <v>18</v>
      </c>
      <c r="F112">
        <v>14</v>
      </c>
      <c r="G112" t="s">
        <v>19</v>
      </c>
      <c r="H112">
        <v>9</v>
      </c>
      <c r="I112">
        <v>0</v>
      </c>
      <c r="J112">
        <v>35</v>
      </c>
      <c r="K112">
        <f t="shared" si="2"/>
        <v>9</v>
      </c>
      <c r="L112" t="str">
        <f t="shared" si="3"/>
        <v>Medium</v>
      </c>
    </row>
    <row r="113" spans="1:12" x14ac:dyDescent="0.3">
      <c r="A113">
        <v>112</v>
      </c>
      <c r="B113">
        <v>74</v>
      </c>
      <c r="C113" t="s">
        <v>10</v>
      </c>
      <c r="D113" t="s">
        <v>17</v>
      </c>
      <c r="E113" t="s">
        <v>15</v>
      </c>
      <c r="F113">
        <v>7</v>
      </c>
      <c r="G113" t="s">
        <v>22</v>
      </c>
      <c r="H113">
        <v>9</v>
      </c>
      <c r="I113">
        <v>3</v>
      </c>
      <c r="J113">
        <v>81</v>
      </c>
      <c r="K113">
        <f t="shared" si="2"/>
        <v>6</v>
      </c>
      <c r="L113" t="str">
        <f t="shared" si="3"/>
        <v>Low</v>
      </c>
    </row>
    <row r="114" spans="1:12" x14ac:dyDescent="0.3">
      <c r="A114">
        <v>113</v>
      </c>
      <c r="B114">
        <v>79</v>
      </c>
      <c r="C114" t="s">
        <v>10</v>
      </c>
      <c r="D114" t="s">
        <v>21</v>
      </c>
      <c r="E114" t="s">
        <v>18</v>
      </c>
      <c r="F114">
        <v>8</v>
      </c>
      <c r="G114" t="s">
        <v>19</v>
      </c>
      <c r="H114">
        <v>5</v>
      </c>
      <c r="I114">
        <v>1</v>
      </c>
      <c r="J114">
        <v>57</v>
      </c>
      <c r="K114">
        <f t="shared" si="2"/>
        <v>4</v>
      </c>
      <c r="L114" t="str">
        <f t="shared" si="3"/>
        <v>Low</v>
      </c>
    </row>
    <row r="115" spans="1:12" x14ac:dyDescent="0.3">
      <c r="A115">
        <v>114</v>
      </c>
      <c r="B115">
        <v>57</v>
      </c>
      <c r="C115" t="s">
        <v>10</v>
      </c>
      <c r="D115" t="s">
        <v>11</v>
      </c>
      <c r="E115" t="s">
        <v>12</v>
      </c>
      <c r="F115">
        <v>24</v>
      </c>
      <c r="G115" t="s">
        <v>19</v>
      </c>
      <c r="H115">
        <v>5</v>
      </c>
      <c r="I115">
        <v>5</v>
      </c>
      <c r="J115">
        <v>75</v>
      </c>
      <c r="K115">
        <f t="shared" si="2"/>
        <v>0</v>
      </c>
      <c r="L115" t="str">
        <f t="shared" si="3"/>
        <v>High</v>
      </c>
    </row>
    <row r="116" spans="1:12" x14ac:dyDescent="0.3">
      <c r="A116">
        <v>115</v>
      </c>
      <c r="B116">
        <v>38</v>
      </c>
      <c r="C116" t="s">
        <v>16</v>
      </c>
      <c r="D116" t="s">
        <v>14</v>
      </c>
      <c r="E116" t="s">
        <v>12</v>
      </c>
      <c r="F116">
        <v>6</v>
      </c>
      <c r="G116" t="s">
        <v>22</v>
      </c>
      <c r="H116">
        <v>7</v>
      </c>
      <c r="I116">
        <v>2</v>
      </c>
      <c r="J116">
        <v>79</v>
      </c>
      <c r="K116">
        <f t="shared" si="2"/>
        <v>5</v>
      </c>
      <c r="L116" t="str">
        <f t="shared" si="3"/>
        <v>Low</v>
      </c>
    </row>
    <row r="117" spans="1:12" x14ac:dyDescent="0.3">
      <c r="A117">
        <v>116</v>
      </c>
      <c r="B117">
        <v>33</v>
      </c>
      <c r="C117" t="s">
        <v>10</v>
      </c>
      <c r="D117" t="s">
        <v>14</v>
      </c>
      <c r="E117" t="s">
        <v>20</v>
      </c>
      <c r="F117">
        <v>21</v>
      </c>
      <c r="G117" t="s">
        <v>13</v>
      </c>
      <c r="H117">
        <v>8</v>
      </c>
      <c r="I117">
        <v>1</v>
      </c>
      <c r="J117">
        <v>37</v>
      </c>
      <c r="K117">
        <f t="shared" si="2"/>
        <v>7</v>
      </c>
      <c r="L117" t="str">
        <f t="shared" si="3"/>
        <v>High</v>
      </c>
    </row>
    <row r="118" spans="1:12" x14ac:dyDescent="0.3">
      <c r="A118">
        <v>117</v>
      </c>
      <c r="B118">
        <v>62</v>
      </c>
      <c r="C118" t="s">
        <v>16</v>
      </c>
      <c r="D118" t="s">
        <v>14</v>
      </c>
      <c r="E118" t="s">
        <v>12</v>
      </c>
      <c r="F118">
        <v>22</v>
      </c>
      <c r="G118" t="s">
        <v>19</v>
      </c>
      <c r="H118">
        <v>6</v>
      </c>
      <c r="I118">
        <v>5</v>
      </c>
      <c r="J118">
        <v>102</v>
      </c>
      <c r="K118">
        <f t="shared" si="2"/>
        <v>1</v>
      </c>
      <c r="L118" t="str">
        <f t="shared" si="3"/>
        <v>High</v>
      </c>
    </row>
    <row r="119" spans="1:12" x14ac:dyDescent="0.3">
      <c r="A119">
        <v>118</v>
      </c>
      <c r="B119">
        <v>35</v>
      </c>
      <c r="C119" t="s">
        <v>16</v>
      </c>
      <c r="D119" t="s">
        <v>21</v>
      </c>
      <c r="E119" t="s">
        <v>12</v>
      </c>
      <c r="F119">
        <v>3</v>
      </c>
      <c r="G119" t="s">
        <v>13</v>
      </c>
      <c r="H119">
        <v>5</v>
      </c>
      <c r="I119">
        <v>3</v>
      </c>
      <c r="J119">
        <v>35</v>
      </c>
      <c r="K119">
        <f t="shared" si="2"/>
        <v>2</v>
      </c>
      <c r="L119" t="str">
        <f t="shared" si="3"/>
        <v>Low</v>
      </c>
    </row>
    <row r="120" spans="1:12" x14ac:dyDescent="0.3">
      <c r="A120">
        <v>119</v>
      </c>
      <c r="B120">
        <v>64</v>
      </c>
      <c r="C120" t="s">
        <v>10</v>
      </c>
      <c r="D120" t="s">
        <v>21</v>
      </c>
      <c r="E120" t="s">
        <v>15</v>
      </c>
      <c r="F120">
        <v>22</v>
      </c>
      <c r="G120" t="s">
        <v>19</v>
      </c>
      <c r="H120">
        <v>9</v>
      </c>
      <c r="I120">
        <v>3</v>
      </c>
      <c r="J120">
        <v>34</v>
      </c>
      <c r="K120">
        <f t="shared" si="2"/>
        <v>6</v>
      </c>
      <c r="L120" t="str">
        <f t="shared" si="3"/>
        <v>High</v>
      </c>
    </row>
    <row r="121" spans="1:12" x14ac:dyDescent="0.3">
      <c r="A121">
        <v>120</v>
      </c>
      <c r="B121">
        <v>70</v>
      </c>
      <c r="C121" t="s">
        <v>16</v>
      </c>
      <c r="D121" t="s">
        <v>14</v>
      </c>
      <c r="E121" t="s">
        <v>18</v>
      </c>
      <c r="F121">
        <v>19</v>
      </c>
      <c r="G121" t="s">
        <v>22</v>
      </c>
      <c r="H121">
        <v>7</v>
      </c>
      <c r="I121">
        <v>4</v>
      </c>
      <c r="J121">
        <v>21</v>
      </c>
      <c r="K121">
        <f t="shared" si="2"/>
        <v>3</v>
      </c>
      <c r="L121" t="str">
        <f t="shared" si="3"/>
        <v>High</v>
      </c>
    </row>
    <row r="122" spans="1:12" x14ac:dyDescent="0.3">
      <c r="A122">
        <v>121</v>
      </c>
      <c r="B122">
        <v>41</v>
      </c>
      <c r="C122" t="s">
        <v>10</v>
      </c>
      <c r="D122" t="s">
        <v>11</v>
      </c>
      <c r="E122" t="s">
        <v>18</v>
      </c>
      <c r="F122">
        <v>14</v>
      </c>
      <c r="G122" t="s">
        <v>22</v>
      </c>
      <c r="H122">
        <v>6</v>
      </c>
      <c r="I122">
        <v>0</v>
      </c>
      <c r="J122">
        <v>14</v>
      </c>
      <c r="K122">
        <f t="shared" si="2"/>
        <v>6</v>
      </c>
      <c r="L122" t="str">
        <f t="shared" si="3"/>
        <v>Medium</v>
      </c>
    </row>
    <row r="123" spans="1:12" x14ac:dyDescent="0.3">
      <c r="A123">
        <v>122</v>
      </c>
      <c r="B123">
        <v>43</v>
      </c>
      <c r="C123" t="s">
        <v>16</v>
      </c>
      <c r="D123" t="s">
        <v>21</v>
      </c>
      <c r="E123" t="s">
        <v>15</v>
      </c>
      <c r="F123">
        <v>17</v>
      </c>
      <c r="G123" t="s">
        <v>19</v>
      </c>
      <c r="H123">
        <v>7</v>
      </c>
      <c r="I123">
        <v>4</v>
      </c>
      <c r="J123">
        <v>107</v>
      </c>
      <c r="K123">
        <f t="shared" si="2"/>
        <v>3</v>
      </c>
      <c r="L123" t="str">
        <f t="shared" si="3"/>
        <v>High</v>
      </c>
    </row>
    <row r="124" spans="1:12" x14ac:dyDescent="0.3">
      <c r="A124">
        <v>123</v>
      </c>
      <c r="B124">
        <v>42</v>
      </c>
      <c r="C124" t="s">
        <v>10</v>
      </c>
      <c r="D124" t="s">
        <v>14</v>
      </c>
      <c r="E124" t="s">
        <v>20</v>
      </c>
      <c r="F124">
        <v>3</v>
      </c>
      <c r="G124" t="s">
        <v>22</v>
      </c>
      <c r="H124">
        <v>6</v>
      </c>
      <c r="I124">
        <v>2</v>
      </c>
      <c r="J124">
        <v>57</v>
      </c>
      <c r="K124">
        <f t="shared" si="2"/>
        <v>4</v>
      </c>
      <c r="L124" t="str">
        <f t="shared" si="3"/>
        <v>Low</v>
      </c>
    </row>
    <row r="125" spans="1:12" x14ac:dyDescent="0.3">
      <c r="A125">
        <v>124</v>
      </c>
      <c r="B125">
        <v>77</v>
      </c>
      <c r="C125" t="s">
        <v>16</v>
      </c>
      <c r="D125" t="s">
        <v>14</v>
      </c>
      <c r="E125" t="s">
        <v>18</v>
      </c>
      <c r="F125">
        <v>16</v>
      </c>
      <c r="G125" t="s">
        <v>19</v>
      </c>
      <c r="H125">
        <v>6</v>
      </c>
      <c r="I125">
        <v>1</v>
      </c>
      <c r="J125">
        <v>46</v>
      </c>
      <c r="K125">
        <f t="shared" si="2"/>
        <v>5</v>
      </c>
      <c r="L125" t="str">
        <f t="shared" si="3"/>
        <v>Medium</v>
      </c>
    </row>
    <row r="126" spans="1:12" x14ac:dyDescent="0.3">
      <c r="A126">
        <v>125</v>
      </c>
      <c r="B126">
        <v>77</v>
      </c>
      <c r="C126" t="s">
        <v>10</v>
      </c>
      <c r="D126" t="s">
        <v>11</v>
      </c>
      <c r="E126" t="s">
        <v>12</v>
      </c>
      <c r="F126">
        <v>8</v>
      </c>
      <c r="G126" t="s">
        <v>22</v>
      </c>
      <c r="H126">
        <v>5</v>
      </c>
      <c r="I126">
        <v>2</v>
      </c>
      <c r="J126">
        <v>88</v>
      </c>
      <c r="K126">
        <f t="shared" si="2"/>
        <v>3</v>
      </c>
      <c r="L126" t="str">
        <f t="shared" si="3"/>
        <v>Low</v>
      </c>
    </row>
    <row r="127" spans="1:12" x14ac:dyDescent="0.3">
      <c r="A127">
        <v>126</v>
      </c>
      <c r="B127">
        <v>77</v>
      </c>
      <c r="C127" t="s">
        <v>10</v>
      </c>
      <c r="D127" t="s">
        <v>17</v>
      </c>
      <c r="E127" t="s">
        <v>18</v>
      </c>
      <c r="F127">
        <v>7</v>
      </c>
      <c r="G127" t="s">
        <v>13</v>
      </c>
      <c r="H127">
        <v>7</v>
      </c>
      <c r="I127">
        <v>5</v>
      </c>
      <c r="J127">
        <v>53</v>
      </c>
      <c r="K127">
        <f t="shared" si="2"/>
        <v>2</v>
      </c>
      <c r="L127" t="str">
        <f t="shared" si="3"/>
        <v>Low</v>
      </c>
    </row>
    <row r="128" spans="1:12" x14ac:dyDescent="0.3">
      <c r="A128">
        <v>127</v>
      </c>
      <c r="B128">
        <v>62</v>
      </c>
      <c r="C128" t="s">
        <v>10</v>
      </c>
      <c r="D128" t="s">
        <v>21</v>
      </c>
      <c r="E128" t="s">
        <v>12</v>
      </c>
      <c r="F128">
        <v>13</v>
      </c>
      <c r="G128" t="s">
        <v>22</v>
      </c>
      <c r="H128">
        <v>7</v>
      </c>
      <c r="I128">
        <v>3</v>
      </c>
      <c r="J128">
        <v>109</v>
      </c>
      <c r="K128">
        <f t="shared" si="2"/>
        <v>4</v>
      </c>
      <c r="L128" t="str">
        <f t="shared" si="3"/>
        <v>Medium</v>
      </c>
    </row>
    <row r="129" spans="1:12" x14ac:dyDescent="0.3">
      <c r="A129">
        <v>128</v>
      </c>
      <c r="B129">
        <v>58</v>
      </c>
      <c r="C129" t="s">
        <v>10</v>
      </c>
      <c r="D129" t="s">
        <v>11</v>
      </c>
      <c r="E129" t="s">
        <v>20</v>
      </c>
      <c r="F129">
        <v>6</v>
      </c>
      <c r="G129" t="s">
        <v>13</v>
      </c>
      <c r="H129">
        <v>9</v>
      </c>
      <c r="I129">
        <v>4</v>
      </c>
      <c r="J129">
        <v>24</v>
      </c>
      <c r="K129">
        <f t="shared" si="2"/>
        <v>5</v>
      </c>
      <c r="L129" t="str">
        <f t="shared" si="3"/>
        <v>Low</v>
      </c>
    </row>
    <row r="130" spans="1:12" x14ac:dyDescent="0.3">
      <c r="A130">
        <v>129</v>
      </c>
      <c r="B130">
        <v>46</v>
      </c>
      <c r="C130" t="s">
        <v>10</v>
      </c>
      <c r="D130" t="s">
        <v>14</v>
      </c>
      <c r="E130" t="s">
        <v>15</v>
      </c>
      <c r="F130">
        <v>15</v>
      </c>
      <c r="G130" t="s">
        <v>22</v>
      </c>
      <c r="H130">
        <v>9</v>
      </c>
      <c r="I130">
        <v>4</v>
      </c>
      <c r="J130">
        <v>52</v>
      </c>
      <c r="K130">
        <f t="shared" si="2"/>
        <v>5</v>
      </c>
      <c r="L130" t="str">
        <f t="shared" si="3"/>
        <v>Medium</v>
      </c>
    </row>
    <row r="131" spans="1:12" x14ac:dyDescent="0.3">
      <c r="A131">
        <v>130</v>
      </c>
      <c r="B131">
        <v>32</v>
      </c>
      <c r="C131" t="s">
        <v>16</v>
      </c>
      <c r="D131" t="s">
        <v>14</v>
      </c>
      <c r="E131" t="s">
        <v>18</v>
      </c>
      <c r="F131">
        <v>13</v>
      </c>
      <c r="G131" t="s">
        <v>13</v>
      </c>
      <c r="H131">
        <v>5</v>
      </c>
      <c r="I131">
        <v>4</v>
      </c>
      <c r="J131">
        <v>57</v>
      </c>
      <c r="K131">
        <f t="shared" ref="K131:K194" si="4">H:H-I:I</f>
        <v>1</v>
      </c>
      <c r="L131" t="str">
        <f t="shared" ref="L131:L194" si="5">IF(F:F&lt;=8, "Low", IF(F:F&gt;=17, "High", "Medium"))</f>
        <v>Medium</v>
      </c>
    </row>
    <row r="132" spans="1:12" x14ac:dyDescent="0.3">
      <c r="A132">
        <v>131</v>
      </c>
      <c r="B132">
        <v>62</v>
      </c>
      <c r="C132" t="s">
        <v>16</v>
      </c>
      <c r="D132" t="s">
        <v>11</v>
      </c>
      <c r="E132" t="s">
        <v>15</v>
      </c>
      <c r="F132">
        <v>5</v>
      </c>
      <c r="G132" t="s">
        <v>22</v>
      </c>
      <c r="H132">
        <v>5</v>
      </c>
      <c r="I132">
        <v>2</v>
      </c>
      <c r="J132">
        <v>96</v>
      </c>
      <c r="K132">
        <f t="shared" si="4"/>
        <v>3</v>
      </c>
      <c r="L132" t="str">
        <f t="shared" si="5"/>
        <v>Low</v>
      </c>
    </row>
    <row r="133" spans="1:12" x14ac:dyDescent="0.3">
      <c r="A133">
        <v>132</v>
      </c>
      <c r="B133">
        <v>18</v>
      </c>
      <c r="C133" t="s">
        <v>16</v>
      </c>
      <c r="D133" t="s">
        <v>21</v>
      </c>
      <c r="E133" t="s">
        <v>18</v>
      </c>
      <c r="F133">
        <v>3</v>
      </c>
      <c r="G133" t="s">
        <v>13</v>
      </c>
      <c r="H133">
        <v>8</v>
      </c>
      <c r="I133">
        <v>3</v>
      </c>
      <c r="J133">
        <v>79</v>
      </c>
      <c r="K133">
        <f t="shared" si="4"/>
        <v>5</v>
      </c>
      <c r="L133" t="str">
        <f t="shared" si="5"/>
        <v>Low</v>
      </c>
    </row>
    <row r="134" spans="1:12" x14ac:dyDescent="0.3">
      <c r="A134">
        <v>133</v>
      </c>
      <c r="B134">
        <v>42</v>
      </c>
      <c r="C134" t="s">
        <v>10</v>
      </c>
      <c r="D134" t="s">
        <v>17</v>
      </c>
      <c r="E134" t="s">
        <v>12</v>
      </c>
      <c r="F134">
        <v>8</v>
      </c>
      <c r="G134" t="s">
        <v>19</v>
      </c>
      <c r="H134">
        <v>9</v>
      </c>
      <c r="I134">
        <v>1</v>
      </c>
      <c r="J134">
        <v>55</v>
      </c>
      <c r="K134">
        <f t="shared" si="4"/>
        <v>8</v>
      </c>
      <c r="L134" t="str">
        <f t="shared" si="5"/>
        <v>Low</v>
      </c>
    </row>
    <row r="135" spans="1:12" x14ac:dyDescent="0.3">
      <c r="A135">
        <v>134</v>
      </c>
      <c r="B135">
        <v>24</v>
      </c>
      <c r="C135" t="s">
        <v>16</v>
      </c>
      <c r="D135" t="s">
        <v>17</v>
      </c>
      <c r="E135" t="s">
        <v>15</v>
      </c>
      <c r="F135">
        <v>20</v>
      </c>
      <c r="G135" t="s">
        <v>19</v>
      </c>
      <c r="H135">
        <v>6</v>
      </c>
      <c r="I135">
        <v>5</v>
      </c>
      <c r="J135">
        <v>117</v>
      </c>
      <c r="K135">
        <f t="shared" si="4"/>
        <v>1</v>
      </c>
      <c r="L135" t="str">
        <f t="shared" si="5"/>
        <v>High</v>
      </c>
    </row>
    <row r="136" spans="1:12" x14ac:dyDescent="0.3">
      <c r="A136">
        <v>135</v>
      </c>
      <c r="B136">
        <v>26</v>
      </c>
      <c r="C136" t="s">
        <v>10</v>
      </c>
      <c r="D136" t="s">
        <v>14</v>
      </c>
      <c r="E136" t="s">
        <v>18</v>
      </c>
      <c r="F136">
        <v>12</v>
      </c>
      <c r="G136" t="s">
        <v>13</v>
      </c>
      <c r="H136">
        <v>7</v>
      </c>
      <c r="I136">
        <v>1</v>
      </c>
      <c r="J136">
        <v>52</v>
      </c>
      <c r="K136">
        <f t="shared" si="4"/>
        <v>6</v>
      </c>
      <c r="L136" t="str">
        <f t="shared" si="5"/>
        <v>Medium</v>
      </c>
    </row>
    <row r="137" spans="1:12" x14ac:dyDescent="0.3">
      <c r="A137">
        <v>136</v>
      </c>
      <c r="B137">
        <v>41</v>
      </c>
      <c r="C137" t="s">
        <v>10</v>
      </c>
      <c r="D137" t="s">
        <v>21</v>
      </c>
      <c r="E137" t="s">
        <v>12</v>
      </c>
      <c r="F137">
        <v>7</v>
      </c>
      <c r="G137" t="s">
        <v>22</v>
      </c>
      <c r="H137">
        <v>5</v>
      </c>
      <c r="I137">
        <v>2</v>
      </c>
      <c r="J137">
        <v>118</v>
      </c>
      <c r="K137">
        <f t="shared" si="4"/>
        <v>3</v>
      </c>
      <c r="L137" t="str">
        <f t="shared" si="5"/>
        <v>Low</v>
      </c>
    </row>
    <row r="138" spans="1:12" x14ac:dyDescent="0.3">
      <c r="A138">
        <v>137</v>
      </c>
      <c r="B138">
        <v>18</v>
      </c>
      <c r="C138" t="s">
        <v>16</v>
      </c>
      <c r="D138" t="s">
        <v>17</v>
      </c>
      <c r="E138" t="s">
        <v>15</v>
      </c>
      <c r="F138">
        <v>12</v>
      </c>
      <c r="G138" t="s">
        <v>13</v>
      </c>
      <c r="H138">
        <v>7</v>
      </c>
      <c r="I138">
        <v>5</v>
      </c>
      <c r="J138">
        <v>30</v>
      </c>
      <c r="K138">
        <f t="shared" si="4"/>
        <v>2</v>
      </c>
      <c r="L138" t="str">
        <f t="shared" si="5"/>
        <v>Medium</v>
      </c>
    </row>
    <row r="139" spans="1:12" x14ac:dyDescent="0.3">
      <c r="A139">
        <v>138</v>
      </c>
      <c r="B139">
        <v>61</v>
      </c>
      <c r="C139" t="s">
        <v>16</v>
      </c>
      <c r="D139" t="s">
        <v>21</v>
      </c>
      <c r="E139" t="s">
        <v>15</v>
      </c>
      <c r="F139">
        <v>14</v>
      </c>
      <c r="G139" t="s">
        <v>22</v>
      </c>
      <c r="H139">
        <v>7</v>
      </c>
      <c r="I139">
        <v>4</v>
      </c>
      <c r="J139">
        <v>32</v>
      </c>
      <c r="K139">
        <f t="shared" si="4"/>
        <v>3</v>
      </c>
      <c r="L139" t="str">
        <f t="shared" si="5"/>
        <v>Medium</v>
      </c>
    </row>
    <row r="140" spans="1:12" x14ac:dyDescent="0.3">
      <c r="A140">
        <v>139</v>
      </c>
      <c r="B140">
        <v>25</v>
      </c>
      <c r="C140" t="s">
        <v>10</v>
      </c>
      <c r="D140" t="s">
        <v>21</v>
      </c>
      <c r="E140" t="s">
        <v>18</v>
      </c>
      <c r="F140">
        <v>4</v>
      </c>
      <c r="G140" t="s">
        <v>19</v>
      </c>
      <c r="H140">
        <v>8</v>
      </c>
      <c r="I140">
        <v>0</v>
      </c>
      <c r="J140">
        <v>116</v>
      </c>
      <c r="K140">
        <f t="shared" si="4"/>
        <v>8</v>
      </c>
      <c r="L140" t="str">
        <f t="shared" si="5"/>
        <v>Low</v>
      </c>
    </row>
    <row r="141" spans="1:12" x14ac:dyDescent="0.3">
      <c r="A141">
        <v>140</v>
      </c>
      <c r="B141">
        <v>41</v>
      </c>
      <c r="C141" t="s">
        <v>16</v>
      </c>
      <c r="D141" t="s">
        <v>14</v>
      </c>
      <c r="E141" t="s">
        <v>18</v>
      </c>
      <c r="F141">
        <v>15</v>
      </c>
      <c r="G141" t="s">
        <v>22</v>
      </c>
      <c r="H141">
        <v>9</v>
      </c>
      <c r="I141">
        <v>2</v>
      </c>
      <c r="J141">
        <v>89</v>
      </c>
      <c r="K141">
        <f t="shared" si="4"/>
        <v>7</v>
      </c>
      <c r="L141" t="str">
        <f t="shared" si="5"/>
        <v>Medium</v>
      </c>
    </row>
    <row r="142" spans="1:12" x14ac:dyDescent="0.3">
      <c r="A142">
        <v>141</v>
      </c>
      <c r="B142">
        <v>28</v>
      </c>
      <c r="C142" t="s">
        <v>10</v>
      </c>
      <c r="D142" t="s">
        <v>17</v>
      </c>
      <c r="E142" t="s">
        <v>18</v>
      </c>
      <c r="F142">
        <v>10</v>
      </c>
      <c r="G142" t="s">
        <v>19</v>
      </c>
      <c r="H142">
        <v>5</v>
      </c>
      <c r="I142">
        <v>2</v>
      </c>
      <c r="J142">
        <v>56</v>
      </c>
      <c r="K142">
        <f t="shared" si="4"/>
        <v>3</v>
      </c>
      <c r="L142" t="str">
        <f t="shared" si="5"/>
        <v>Medium</v>
      </c>
    </row>
    <row r="143" spans="1:12" x14ac:dyDescent="0.3">
      <c r="A143">
        <v>142</v>
      </c>
      <c r="B143">
        <v>68</v>
      </c>
      <c r="C143" t="s">
        <v>10</v>
      </c>
      <c r="D143" t="s">
        <v>11</v>
      </c>
      <c r="E143" t="s">
        <v>12</v>
      </c>
      <c r="F143">
        <v>4</v>
      </c>
      <c r="G143" t="s">
        <v>22</v>
      </c>
      <c r="H143">
        <v>7</v>
      </c>
      <c r="I143">
        <v>3</v>
      </c>
      <c r="J143">
        <v>24</v>
      </c>
      <c r="K143">
        <f t="shared" si="4"/>
        <v>4</v>
      </c>
      <c r="L143" t="str">
        <f t="shared" si="5"/>
        <v>Low</v>
      </c>
    </row>
    <row r="144" spans="1:12" x14ac:dyDescent="0.3">
      <c r="A144">
        <v>143</v>
      </c>
      <c r="B144">
        <v>34</v>
      </c>
      <c r="C144" t="s">
        <v>10</v>
      </c>
      <c r="D144" t="s">
        <v>14</v>
      </c>
      <c r="E144" t="s">
        <v>18</v>
      </c>
      <c r="F144">
        <v>22</v>
      </c>
      <c r="G144" t="s">
        <v>22</v>
      </c>
      <c r="H144">
        <v>5</v>
      </c>
      <c r="I144">
        <v>1</v>
      </c>
      <c r="J144">
        <v>34</v>
      </c>
      <c r="K144">
        <f t="shared" si="4"/>
        <v>4</v>
      </c>
      <c r="L144" t="str">
        <f t="shared" si="5"/>
        <v>High</v>
      </c>
    </row>
    <row r="145" spans="1:12" x14ac:dyDescent="0.3">
      <c r="A145">
        <v>144</v>
      </c>
      <c r="B145">
        <v>25</v>
      </c>
      <c r="C145" t="s">
        <v>10</v>
      </c>
      <c r="D145" t="s">
        <v>17</v>
      </c>
      <c r="E145" t="s">
        <v>15</v>
      </c>
      <c r="F145">
        <v>3</v>
      </c>
      <c r="G145" t="s">
        <v>22</v>
      </c>
      <c r="H145">
        <v>6</v>
      </c>
      <c r="I145">
        <v>2</v>
      </c>
      <c r="J145">
        <v>45</v>
      </c>
      <c r="K145">
        <f t="shared" si="4"/>
        <v>4</v>
      </c>
      <c r="L145" t="str">
        <f t="shared" si="5"/>
        <v>Low</v>
      </c>
    </row>
    <row r="146" spans="1:12" x14ac:dyDescent="0.3">
      <c r="A146">
        <v>145</v>
      </c>
      <c r="B146">
        <v>52</v>
      </c>
      <c r="C146" t="s">
        <v>10</v>
      </c>
      <c r="D146" t="s">
        <v>17</v>
      </c>
      <c r="E146" t="s">
        <v>15</v>
      </c>
      <c r="F146">
        <v>7</v>
      </c>
      <c r="G146" t="s">
        <v>13</v>
      </c>
      <c r="H146">
        <v>8</v>
      </c>
      <c r="I146">
        <v>2</v>
      </c>
      <c r="J146">
        <v>84</v>
      </c>
      <c r="K146">
        <f t="shared" si="4"/>
        <v>6</v>
      </c>
      <c r="L146" t="str">
        <f t="shared" si="5"/>
        <v>Low</v>
      </c>
    </row>
    <row r="147" spans="1:12" x14ac:dyDescent="0.3">
      <c r="A147">
        <v>146</v>
      </c>
      <c r="B147">
        <v>52</v>
      </c>
      <c r="C147" t="s">
        <v>16</v>
      </c>
      <c r="D147" t="s">
        <v>17</v>
      </c>
      <c r="E147" t="s">
        <v>18</v>
      </c>
      <c r="F147">
        <v>11</v>
      </c>
      <c r="G147" t="s">
        <v>13</v>
      </c>
      <c r="H147">
        <v>6</v>
      </c>
      <c r="I147">
        <v>4</v>
      </c>
      <c r="J147">
        <v>60</v>
      </c>
      <c r="K147">
        <f t="shared" si="4"/>
        <v>2</v>
      </c>
      <c r="L147" t="str">
        <f t="shared" si="5"/>
        <v>Medium</v>
      </c>
    </row>
    <row r="148" spans="1:12" x14ac:dyDescent="0.3">
      <c r="A148">
        <v>147</v>
      </c>
      <c r="B148">
        <v>50</v>
      </c>
      <c r="C148" t="s">
        <v>16</v>
      </c>
      <c r="D148" t="s">
        <v>17</v>
      </c>
      <c r="E148" t="s">
        <v>18</v>
      </c>
      <c r="F148">
        <v>19</v>
      </c>
      <c r="G148" t="s">
        <v>19</v>
      </c>
      <c r="H148">
        <v>5</v>
      </c>
      <c r="I148">
        <v>4</v>
      </c>
      <c r="J148">
        <v>24</v>
      </c>
      <c r="K148">
        <f t="shared" si="4"/>
        <v>1</v>
      </c>
      <c r="L148" t="str">
        <f t="shared" si="5"/>
        <v>High</v>
      </c>
    </row>
    <row r="149" spans="1:12" x14ac:dyDescent="0.3">
      <c r="A149">
        <v>148</v>
      </c>
      <c r="B149">
        <v>76</v>
      </c>
      <c r="C149" t="s">
        <v>10</v>
      </c>
      <c r="D149" t="s">
        <v>17</v>
      </c>
      <c r="E149" t="s">
        <v>20</v>
      </c>
      <c r="F149">
        <v>11</v>
      </c>
      <c r="G149" t="s">
        <v>19</v>
      </c>
      <c r="H149">
        <v>5</v>
      </c>
      <c r="I149">
        <v>5</v>
      </c>
      <c r="J149">
        <v>77</v>
      </c>
      <c r="K149">
        <f t="shared" si="4"/>
        <v>0</v>
      </c>
      <c r="L149" t="str">
        <f t="shared" si="5"/>
        <v>Medium</v>
      </c>
    </row>
    <row r="150" spans="1:12" x14ac:dyDescent="0.3">
      <c r="A150">
        <v>149</v>
      </c>
      <c r="B150">
        <v>22</v>
      </c>
      <c r="C150" t="s">
        <v>10</v>
      </c>
      <c r="D150" t="s">
        <v>21</v>
      </c>
      <c r="E150" t="s">
        <v>15</v>
      </c>
      <c r="F150">
        <v>13</v>
      </c>
      <c r="G150" t="s">
        <v>13</v>
      </c>
      <c r="H150">
        <v>9</v>
      </c>
      <c r="I150">
        <v>0</v>
      </c>
      <c r="J150">
        <v>30</v>
      </c>
      <c r="K150">
        <f t="shared" si="4"/>
        <v>9</v>
      </c>
      <c r="L150" t="str">
        <f t="shared" si="5"/>
        <v>Medium</v>
      </c>
    </row>
    <row r="151" spans="1:12" x14ac:dyDescent="0.3">
      <c r="A151">
        <v>150</v>
      </c>
      <c r="B151">
        <v>59</v>
      </c>
      <c r="C151" t="s">
        <v>16</v>
      </c>
      <c r="D151" t="s">
        <v>14</v>
      </c>
      <c r="E151" t="s">
        <v>12</v>
      </c>
      <c r="F151">
        <v>17</v>
      </c>
      <c r="G151" t="s">
        <v>19</v>
      </c>
      <c r="H151">
        <v>7</v>
      </c>
      <c r="I151">
        <v>3</v>
      </c>
      <c r="J151">
        <v>22</v>
      </c>
      <c r="K151">
        <f t="shared" si="4"/>
        <v>4</v>
      </c>
      <c r="L151" t="str">
        <f t="shared" si="5"/>
        <v>High</v>
      </c>
    </row>
    <row r="152" spans="1:12" x14ac:dyDescent="0.3">
      <c r="A152">
        <v>151</v>
      </c>
      <c r="B152">
        <v>56</v>
      </c>
      <c r="C152" t="s">
        <v>16</v>
      </c>
      <c r="D152" t="s">
        <v>21</v>
      </c>
      <c r="E152" t="s">
        <v>20</v>
      </c>
      <c r="F152">
        <v>8</v>
      </c>
      <c r="G152" t="s">
        <v>13</v>
      </c>
      <c r="H152">
        <v>7</v>
      </c>
      <c r="I152">
        <v>0</v>
      </c>
      <c r="J152">
        <v>95</v>
      </c>
      <c r="K152">
        <f t="shared" si="4"/>
        <v>7</v>
      </c>
      <c r="L152" t="str">
        <f t="shared" si="5"/>
        <v>Low</v>
      </c>
    </row>
    <row r="153" spans="1:12" x14ac:dyDescent="0.3">
      <c r="A153">
        <v>152</v>
      </c>
      <c r="B153">
        <v>75</v>
      </c>
      <c r="C153" t="s">
        <v>10</v>
      </c>
      <c r="D153" t="s">
        <v>11</v>
      </c>
      <c r="E153" t="s">
        <v>18</v>
      </c>
      <c r="F153">
        <v>5</v>
      </c>
      <c r="G153" t="s">
        <v>22</v>
      </c>
      <c r="H153">
        <v>6</v>
      </c>
      <c r="I153">
        <v>5</v>
      </c>
      <c r="J153">
        <v>28</v>
      </c>
      <c r="K153">
        <f t="shared" si="4"/>
        <v>1</v>
      </c>
      <c r="L153" t="str">
        <f t="shared" si="5"/>
        <v>Low</v>
      </c>
    </row>
    <row r="154" spans="1:12" x14ac:dyDescent="0.3">
      <c r="A154">
        <v>153</v>
      </c>
      <c r="B154">
        <v>58</v>
      </c>
      <c r="C154" t="s">
        <v>16</v>
      </c>
      <c r="D154" t="s">
        <v>17</v>
      </c>
      <c r="E154" t="s">
        <v>18</v>
      </c>
      <c r="F154">
        <v>19</v>
      </c>
      <c r="G154" t="s">
        <v>19</v>
      </c>
      <c r="H154">
        <v>8</v>
      </c>
      <c r="I154">
        <v>4</v>
      </c>
      <c r="J154">
        <v>43</v>
      </c>
      <c r="K154">
        <f t="shared" si="4"/>
        <v>4</v>
      </c>
      <c r="L154" t="str">
        <f t="shared" si="5"/>
        <v>High</v>
      </c>
    </row>
    <row r="155" spans="1:12" x14ac:dyDescent="0.3">
      <c r="A155">
        <v>154</v>
      </c>
      <c r="B155">
        <v>45</v>
      </c>
      <c r="C155" t="s">
        <v>10</v>
      </c>
      <c r="D155" t="s">
        <v>14</v>
      </c>
      <c r="E155" t="s">
        <v>15</v>
      </c>
      <c r="F155">
        <v>7</v>
      </c>
      <c r="G155" t="s">
        <v>19</v>
      </c>
      <c r="H155">
        <v>7</v>
      </c>
      <c r="I155">
        <v>1</v>
      </c>
      <c r="J155">
        <v>87</v>
      </c>
      <c r="K155">
        <f t="shared" si="4"/>
        <v>6</v>
      </c>
      <c r="L155" t="str">
        <f t="shared" si="5"/>
        <v>Low</v>
      </c>
    </row>
    <row r="156" spans="1:12" x14ac:dyDescent="0.3">
      <c r="A156">
        <v>155</v>
      </c>
      <c r="B156">
        <v>24</v>
      </c>
      <c r="C156" t="s">
        <v>16</v>
      </c>
      <c r="D156" t="s">
        <v>17</v>
      </c>
      <c r="E156" t="s">
        <v>18</v>
      </c>
      <c r="F156">
        <v>14</v>
      </c>
      <c r="G156" t="s">
        <v>13</v>
      </c>
      <c r="H156">
        <v>9</v>
      </c>
      <c r="I156">
        <v>4</v>
      </c>
      <c r="J156">
        <v>77</v>
      </c>
      <c r="K156">
        <f t="shared" si="4"/>
        <v>5</v>
      </c>
      <c r="L156" t="str">
        <f t="shared" si="5"/>
        <v>Medium</v>
      </c>
    </row>
    <row r="157" spans="1:12" x14ac:dyDescent="0.3">
      <c r="A157">
        <v>156</v>
      </c>
      <c r="B157">
        <v>26</v>
      </c>
      <c r="C157" t="s">
        <v>10</v>
      </c>
      <c r="D157" t="s">
        <v>14</v>
      </c>
      <c r="E157" t="s">
        <v>12</v>
      </c>
      <c r="F157">
        <v>20</v>
      </c>
      <c r="G157" t="s">
        <v>19</v>
      </c>
      <c r="H157">
        <v>6</v>
      </c>
      <c r="I157">
        <v>3</v>
      </c>
      <c r="J157">
        <v>61</v>
      </c>
      <c r="K157">
        <f t="shared" si="4"/>
        <v>3</v>
      </c>
      <c r="L157" t="str">
        <f t="shared" si="5"/>
        <v>High</v>
      </c>
    </row>
    <row r="158" spans="1:12" x14ac:dyDescent="0.3">
      <c r="A158">
        <v>157</v>
      </c>
      <c r="B158">
        <v>25</v>
      </c>
      <c r="C158" t="s">
        <v>16</v>
      </c>
      <c r="D158" t="s">
        <v>21</v>
      </c>
      <c r="E158" t="s">
        <v>15</v>
      </c>
      <c r="F158">
        <v>16</v>
      </c>
      <c r="G158" t="s">
        <v>19</v>
      </c>
      <c r="H158">
        <v>6</v>
      </c>
      <c r="I158">
        <v>4</v>
      </c>
      <c r="J158">
        <v>119</v>
      </c>
      <c r="K158">
        <f t="shared" si="4"/>
        <v>2</v>
      </c>
      <c r="L158" t="str">
        <f t="shared" si="5"/>
        <v>Medium</v>
      </c>
    </row>
    <row r="159" spans="1:12" x14ac:dyDescent="0.3">
      <c r="A159">
        <v>158</v>
      </c>
      <c r="B159">
        <v>29</v>
      </c>
      <c r="C159" t="s">
        <v>10</v>
      </c>
      <c r="D159" t="s">
        <v>14</v>
      </c>
      <c r="E159" t="s">
        <v>18</v>
      </c>
      <c r="F159">
        <v>23</v>
      </c>
      <c r="G159" t="s">
        <v>22</v>
      </c>
      <c r="H159">
        <v>9</v>
      </c>
      <c r="I159">
        <v>3</v>
      </c>
      <c r="J159">
        <v>36</v>
      </c>
      <c r="K159">
        <f t="shared" si="4"/>
        <v>6</v>
      </c>
      <c r="L159" t="str">
        <f t="shared" si="5"/>
        <v>High</v>
      </c>
    </row>
    <row r="160" spans="1:12" x14ac:dyDescent="0.3">
      <c r="A160">
        <v>159</v>
      </c>
      <c r="B160">
        <v>51</v>
      </c>
      <c r="C160" t="s">
        <v>16</v>
      </c>
      <c r="D160" t="s">
        <v>11</v>
      </c>
      <c r="E160" t="s">
        <v>15</v>
      </c>
      <c r="F160">
        <v>13</v>
      </c>
      <c r="G160" t="s">
        <v>19</v>
      </c>
      <c r="H160">
        <v>8</v>
      </c>
      <c r="I160">
        <v>3</v>
      </c>
      <c r="J160">
        <v>38</v>
      </c>
      <c r="K160">
        <f t="shared" si="4"/>
        <v>5</v>
      </c>
      <c r="L160" t="str">
        <f t="shared" si="5"/>
        <v>Medium</v>
      </c>
    </row>
    <row r="161" spans="1:12" x14ac:dyDescent="0.3">
      <c r="A161">
        <v>160</v>
      </c>
      <c r="B161">
        <v>50</v>
      </c>
      <c r="C161" t="s">
        <v>16</v>
      </c>
      <c r="D161" t="s">
        <v>11</v>
      </c>
      <c r="E161" t="s">
        <v>18</v>
      </c>
      <c r="F161">
        <v>11</v>
      </c>
      <c r="G161" t="s">
        <v>22</v>
      </c>
      <c r="H161">
        <v>9</v>
      </c>
      <c r="I161">
        <v>3</v>
      </c>
      <c r="J161">
        <v>37</v>
      </c>
      <c r="K161">
        <f t="shared" si="4"/>
        <v>6</v>
      </c>
      <c r="L161" t="str">
        <f t="shared" si="5"/>
        <v>Medium</v>
      </c>
    </row>
    <row r="162" spans="1:12" x14ac:dyDescent="0.3">
      <c r="A162">
        <v>161</v>
      </c>
      <c r="B162">
        <v>65</v>
      </c>
      <c r="C162" t="s">
        <v>10</v>
      </c>
      <c r="D162" t="s">
        <v>14</v>
      </c>
      <c r="E162" t="s">
        <v>18</v>
      </c>
      <c r="F162">
        <v>4</v>
      </c>
      <c r="G162" t="s">
        <v>13</v>
      </c>
      <c r="H162">
        <v>8</v>
      </c>
      <c r="I162">
        <v>5</v>
      </c>
      <c r="J162">
        <v>44</v>
      </c>
      <c r="K162">
        <f t="shared" si="4"/>
        <v>3</v>
      </c>
      <c r="L162" t="str">
        <f t="shared" si="5"/>
        <v>Low</v>
      </c>
    </row>
    <row r="163" spans="1:12" x14ac:dyDescent="0.3">
      <c r="A163">
        <v>162</v>
      </c>
      <c r="B163">
        <v>72</v>
      </c>
      <c r="C163" t="s">
        <v>16</v>
      </c>
      <c r="D163" t="s">
        <v>14</v>
      </c>
      <c r="E163" t="s">
        <v>18</v>
      </c>
      <c r="F163">
        <v>14</v>
      </c>
      <c r="G163" t="s">
        <v>19</v>
      </c>
      <c r="H163">
        <v>9</v>
      </c>
      <c r="I163">
        <v>3</v>
      </c>
      <c r="J163">
        <v>17</v>
      </c>
      <c r="K163">
        <f t="shared" si="4"/>
        <v>6</v>
      </c>
      <c r="L163" t="str">
        <f t="shared" si="5"/>
        <v>Medium</v>
      </c>
    </row>
    <row r="164" spans="1:12" x14ac:dyDescent="0.3">
      <c r="A164">
        <v>163</v>
      </c>
      <c r="B164">
        <v>40</v>
      </c>
      <c r="C164" t="s">
        <v>10</v>
      </c>
      <c r="D164" t="s">
        <v>14</v>
      </c>
      <c r="E164" t="s">
        <v>12</v>
      </c>
      <c r="F164">
        <v>5</v>
      </c>
      <c r="G164" t="s">
        <v>22</v>
      </c>
      <c r="H164">
        <v>9</v>
      </c>
      <c r="I164">
        <v>3</v>
      </c>
      <c r="J164">
        <v>25</v>
      </c>
      <c r="K164">
        <f t="shared" si="4"/>
        <v>6</v>
      </c>
      <c r="L164" t="str">
        <f t="shared" si="5"/>
        <v>Low</v>
      </c>
    </row>
    <row r="165" spans="1:12" x14ac:dyDescent="0.3">
      <c r="A165">
        <v>164</v>
      </c>
      <c r="B165">
        <v>79</v>
      </c>
      <c r="C165" t="s">
        <v>16</v>
      </c>
      <c r="D165" t="s">
        <v>14</v>
      </c>
      <c r="E165" t="s">
        <v>12</v>
      </c>
      <c r="F165">
        <v>5</v>
      </c>
      <c r="G165" t="s">
        <v>13</v>
      </c>
      <c r="H165">
        <v>5</v>
      </c>
      <c r="I165">
        <v>1</v>
      </c>
      <c r="J165">
        <v>115</v>
      </c>
      <c r="K165">
        <f t="shared" si="4"/>
        <v>4</v>
      </c>
      <c r="L165" t="str">
        <f t="shared" si="5"/>
        <v>Low</v>
      </c>
    </row>
    <row r="166" spans="1:12" x14ac:dyDescent="0.3">
      <c r="A166">
        <v>165</v>
      </c>
      <c r="B166">
        <v>41</v>
      </c>
      <c r="C166" t="s">
        <v>10</v>
      </c>
      <c r="D166" t="s">
        <v>11</v>
      </c>
      <c r="E166" t="s">
        <v>15</v>
      </c>
      <c r="F166">
        <v>3</v>
      </c>
      <c r="G166" t="s">
        <v>19</v>
      </c>
      <c r="H166">
        <v>6</v>
      </c>
      <c r="I166">
        <v>0</v>
      </c>
      <c r="J166">
        <v>45</v>
      </c>
      <c r="K166">
        <f t="shared" si="4"/>
        <v>6</v>
      </c>
      <c r="L166" t="str">
        <f t="shared" si="5"/>
        <v>Low</v>
      </c>
    </row>
    <row r="167" spans="1:12" x14ac:dyDescent="0.3">
      <c r="A167">
        <v>166</v>
      </c>
      <c r="B167">
        <v>54</v>
      </c>
      <c r="C167" t="s">
        <v>16</v>
      </c>
      <c r="D167" t="s">
        <v>17</v>
      </c>
      <c r="E167" t="s">
        <v>18</v>
      </c>
      <c r="F167">
        <v>10</v>
      </c>
      <c r="G167" t="s">
        <v>13</v>
      </c>
      <c r="H167">
        <v>9</v>
      </c>
      <c r="I167">
        <v>2</v>
      </c>
      <c r="J167">
        <v>39</v>
      </c>
      <c r="K167">
        <f t="shared" si="4"/>
        <v>7</v>
      </c>
      <c r="L167" t="str">
        <f t="shared" si="5"/>
        <v>Medium</v>
      </c>
    </row>
    <row r="168" spans="1:12" x14ac:dyDescent="0.3">
      <c r="A168">
        <v>167</v>
      </c>
      <c r="B168">
        <v>52</v>
      </c>
      <c r="C168" t="s">
        <v>10</v>
      </c>
      <c r="D168" t="s">
        <v>14</v>
      </c>
      <c r="E168" t="s">
        <v>18</v>
      </c>
      <c r="F168">
        <v>24</v>
      </c>
      <c r="G168" t="s">
        <v>19</v>
      </c>
      <c r="H168">
        <v>9</v>
      </c>
      <c r="I168">
        <v>0</v>
      </c>
      <c r="J168">
        <v>27</v>
      </c>
      <c r="K168">
        <f t="shared" si="4"/>
        <v>9</v>
      </c>
      <c r="L168" t="str">
        <f t="shared" si="5"/>
        <v>High</v>
      </c>
    </row>
    <row r="169" spans="1:12" x14ac:dyDescent="0.3">
      <c r="A169">
        <v>168</v>
      </c>
      <c r="B169">
        <v>61</v>
      </c>
      <c r="C169" t="s">
        <v>16</v>
      </c>
      <c r="D169" t="s">
        <v>14</v>
      </c>
      <c r="E169" t="s">
        <v>12</v>
      </c>
      <c r="F169">
        <v>10</v>
      </c>
      <c r="G169" t="s">
        <v>13</v>
      </c>
      <c r="H169">
        <v>7</v>
      </c>
      <c r="I169">
        <v>3</v>
      </c>
      <c r="J169">
        <v>11</v>
      </c>
      <c r="K169">
        <f t="shared" si="4"/>
        <v>4</v>
      </c>
      <c r="L169" t="str">
        <f t="shared" si="5"/>
        <v>Medium</v>
      </c>
    </row>
    <row r="170" spans="1:12" x14ac:dyDescent="0.3">
      <c r="A170">
        <v>169</v>
      </c>
      <c r="B170">
        <v>57</v>
      </c>
      <c r="C170" t="s">
        <v>10</v>
      </c>
      <c r="D170" t="s">
        <v>11</v>
      </c>
      <c r="E170" t="s">
        <v>18</v>
      </c>
      <c r="F170">
        <v>13</v>
      </c>
      <c r="G170" t="s">
        <v>13</v>
      </c>
      <c r="H170">
        <v>6</v>
      </c>
      <c r="I170">
        <v>1</v>
      </c>
      <c r="J170">
        <v>58</v>
      </c>
      <c r="K170">
        <f t="shared" si="4"/>
        <v>5</v>
      </c>
      <c r="L170" t="str">
        <f t="shared" si="5"/>
        <v>Medium</v>
      </c>
    </row>
    <row r="171" spans="1:12" x14ac:dyDescent="0.3">
      <c r="A171">
        <v>170</v>
      </c>
      <c r="B171">
        <v>39</v>
      </c>
      <c r="C171" t="s">
        <v>16</v>
      </c>
      <c r="D171" t="s">
        <v>11</v>
      </c>
      <c r="E171" t="s">
        <v>12</v>
      </c>
      <c r="F171">
        <v>11</v>
      </c>
      <c r="G171" t="s">
        <v>22</v>
      </c>
      <c r="H171">
        <v>7</v>
      </c>
      <c r="I171">
        <v>4</v>
      </c>
      <c r="J171">
        <v>86</v>
      </c>
      <c r="K171">
        <f t="shared" si="4"/>
        <v>3</v>
      </c>
      <c r="L171" t="str">
        <f t="shared" si="5"/>
        <v>Medium</v>
      </c>
    </row>
    <row r="172" spans="1:12" x14ac:dyDescent="0.3">
      <c r="A172">
        <v>171</v>
      </c>
      <c r="B172">
        <v>44</v>
      </c>
      <c r="C172" t="s">
        <v>10</v>
      </c>
      <c r="D172" t="s">
        <v>21</v>
      </c>
      <c r="E172" t="s">
        <v>18</v>
      </c>
      <c r="F172">
        <v>7</v>
      </c>
      <c r="G172" t="s">
        <v>13</v>
      </c>
      <c r="H172">
        <v>6</v>
      </c>
      <c r="I172">
        <v>1</v>
      </c>
      <c r="J172">
        <v>13</v>
      </c>
      <c r="K172">
        <f t="shared" si="4"/>
        <v>5</v>
      </c>
      <c r="L172" t="str">
        <f t="shared" si="5"/>
        <v>Low</v>
      </c>
    </row>
    <row r="173" spans="1:12" x14ac:dyDescent="0.3">
      <c r="A173">
        <v>172</v>
      </c>
      <c r="B173">
        <v>52</v>
      </c>
      <c r="C173" t="s">
        <v>10</v>
      </c>
      <c r="D173" t="s">
        <v>14</v>
      </c>
      <c r="E173" t="s">
        <v>15</v>
      </c>
      <c r="F173">
        <v>16</v>
      </c>
      <c r="G173" t="s">
        <v>19</v>
      </c>
      <c r="H173">
        <v>7</v>
      </c>
      <c r="I173">
        <v>3</v>
      </c>
      <c r="J173">
        <v>99</v>
      </c>
      <c r="K173">
        <f t="shared" si="4"/>
        <v>4</v>
      </c>
      <c r="L173" t="str">
        <f t="shared" si="5"/>
        <v>Medium</v>
      </c>
    </row>
    <row r="174" spans="1:12" x14ac:dyDescent="0.3">
      <c r="A174">
        <v>173</v>
      </c>
      <c r="B174">
        <v>18</v>
      </c>
      <c r="C174" t="s">
        <v>10</v>
      </c>
      <c r="D174" t="s">
        <v>21</v>
      </c>
      <c r="E174" t="s">
        <v>18</v>
      </c>
      <c r="F174">
        <v>5</v>
      </c>
      <c r="G174" t="s">
        <v>19</v>
      </c>
      <c r="H174">
        <v>9</v>
      </c>
      <c r="I174">
        <v>1</v>
      </c>
      <c r="J174">
        <v>98</v>
      </c>
      <c r="K174">
        <f t="shared" si="4"/>
        <v>8</v>
      </c>
      <c r="L174" t="str">
        <f t="shared" si="5"/>
        <v>Low</v>
      </c>
    </row>
    <row r="175" spans="1:12" x14ac:dyDescent="0.3">
      <c r="A175">
        <v>174</v>
      </c>
      <c r="B175">
        <v>52</v>
      </c>
      <c r="C175" t="s">
        <v>16</v>
      </c>
      <c r="D175" t="s">
        <v>11</v>
      </c>
      <c r="E175" t="s">
        <v>18</v>
      </c>
      <c r="F175">
        <v>23</v>
      </c>
      <c r="G175" t="s">
        <v>22</v>
      </c>
      <c r="H175">
        <v>9</v>
      </c>
      <c r="I175">
        <v>1</v>
      </c>
      <c r="J175">
        <v>103</v>
      </c>
      <c r="K175">
        <f t="shared" si="4"/>
        <v>8</v>
      </c>
      <c r="L175" t="str">
        <f t="shared" si="5"/>
        <v>High</v>
      </c>
    </row>
    <row r="176" spans="1:12" x14ac:dyDescent="0.3">
      <c r="A176">
        <v>175</v>
      </c>
      <c r="B176">
        <v>54</v>
      </c>
      <c r="C176" t="s">
        <v>10</v>
      </c>
      <c r="D176" t="s">
        <v>11</v>
      </c>
      <c r="E176" t="s">
        <v>20</v>
      </c>
      <c r="F176">
        <v>7</v>
      </c>
      <c r="G176" t="s">
        <v>19</v>
      </c>
      <c r="H176">
        <v>5</v>
      </c>
      <c r="I176">
        <v>3</v>
      </c>
      <c r="J176">
        <v>84</v>
      </c>
      <c r="K176">
        <f t="shared" si="4"/>
        <v>2</v>
      </c>
      <c r="L176" t="str">
        <f t="shared" si="5"/>
        <v>Low</v>
      </c>
    </row>
    <row r="177" spans="1:12" x14ac:dyDescent="0.3">
      <c r="A177">
        <v>176</v>
      </c>
      <c r="B177">
        <v>64</v>
      </c>
      <c r="C177" t="s">
        <v>16</v>
      </c>
      <c r="D177" t="s">
        <v>17</v>
      </c>
      <c r="E177" t="s">
        <v>12</v>
      </c>
      <c r="F177">
        <v>7</v>
      </c>
      <c r="G177" t="s">
        <v>19</v>
      </c>
      <c r="H177">
        <v>7</v>
      </c>
      <c r="I177">
        <v>5</v>
      </c>
      <c r="J177">
        <v>16</v>
      </c>
      <c r="K177">
        <f t="shared" si="4"/>
        <v>2</v>
      </c>
      <c r="L177" t="str">
        <f t="shared" si="5"/>
        <v>Low</v>
      </c>
    </row>
    <row r="178" spans="1:12" x14ac:dyDescent="0.3">
      <c r="A178">
        <v>177</v>
      </c>
      <c r="B178">
        <v>31</v>
      </c>
      <c r="C178" t="s">
        <v>10</v>
      </c>
      <c r="D178" t="s">
        <v>14</v>
      </c>
      <c r="E178" t="s">
        <v>18</v>
      </c>
      <c r="F178">
        <v>21</v>
      </c>
      <c r="G178" t="s">
        <v>19</v>
      </c>
      <c r="H178">
        <v>8</v>
      </c>
      <c r="I178">
        <v>1</v>
      </c>
      <c r="J178">
        <v>104</v>
      </c>
      <c r="K178">
        <f t="shared" si="4"/>
        <v>7</v>
      </c>
      <c r="L178" t="str">
        <f t="shared" si="5"/>
        <v>High</v>
      </c>
    </row>
    <row r="179" spans="1:12" x14ac:dyDescent="0.3">
      <c r="A179">
        <v>178</v>
      </c>
      <c r="B179">
        <v>20</v>
      </c>
      <c r="C179" t="s">
        <v>16</v>
      </c>
      <c r="D179" t="s">
        <v>21</v>
      </c>
      <c r="E179" t="s">
        <v>18</v>
      </c>
      <c r="F179">
        <v>16</v>
      </c>
      <c r="G179" t="s">
        <v>13</v>
      </c>
      <c r="H179">
        <v>5</v>
      </c>
      <c r="I179">
        <v>2</v>
      </c>
      <c r="J179">
        <v>117</v>
      </c>
      <c r="K179">
        <f t="shared" si="4"/>
        <v>3</v>
      </c>
      <c r="L179" t="str">
        <f t="shared" si="5"/>
        <v>Medium</v>
      </c>
    </row>
    <row r="180" spans="1:12" x14ac:dyDescent="0.3">
      <c r="A180">
        <v>179</v>
      </c>
      <c r="B180">
        <v>18</v>
      </c>
      <c r="C180" t="s">
        <v>10</v>
      </c>
      <c r="D180" t="s">
        <v>11</v>
      </c>
      <c r="E180" t="s">
        <v>20</v>
      </c>
      <c r="F180">
        <v>6</v>
      </c>
      <c r="G180" t="s">
        <v>13</v>
      </c>
      <c r="H180">
        <v>7</v>
      </c>
      <c r="I180">
        <v>2</v>
      </c>
      <c r="J180">
        <v>83</v>
      </c>
      <c r="K180">
        <f t="shared" si="4"/>
        <v>5</v>
      </c>
      <c r="L180" t="str">
        <f t="shared" si="5"/>
        <v>Low</v>
      </c>
    </row>
    <row r="181" spans="1:12" x14ac:dyDescent="0.3">
      <c r="A181">
        <v>180</v>
      </c>
      <c r="B181">
        <v>22</v>
      </c>
      <c r="C181" t="s">
        <v>16</v>
      </c>
      <c r="D181" t="s">
        <v>11</v>
      </c>
      <c r="E181" t="s">
        <v>20</v>
      </c>
      <c r="F181">
        <v>15</v>
      </c>
      <c r="G181" t="s">
        <v>19</v>
      </c>
      <c r="H181">
        <v>7</v>
      </c>
      <c r="I181">
        <v>1</v>
      </c>
      <c r="J181">
        <v>48</v>
      </c>
      <c r="K181">
        <f t="shared" si="4"/>
        <v>6</v>
      </c>
      <c r="L181" t="str">
        <f t="shared" si="5"/>
        <v>Medium</v>
      </c>
    </row>
    <row r="182" spans="1:12" x14ac:dyDescent="0.3">
      <c r="A182">
        <v>181</v>
      </c>
      <c r="B182">
        <v>43</v>
      </c>
      <c r="C182" t="s">
        <v>16</v>
      </c>
      <c r="D182" t="s">
        <v>21</v>
      </c>
      <c r="E182" t="s">
        <v>12</v>
      </c>
      <c r="F182">
        <v>12</v>
      </c>
      <c r="G182" t="s">
        <v>22</v>
      </c>
      <c r="H182">
        <v>5</v>
      </c>
      <c r="I182">
        <v>5</v>
      </c>
      <c r="J182">
        <v>22</v>
      </c>
      <c r="K182">
        <f t="shared" si="4"/>
        <v>0</v>
      </c>
      <c r="L182" t="str">
        <f t="shared" si="5"/>
        <v>Medium</v>
      </c>
    </row>
    <row r="183" spans="1:12" x14ac:dyDescent="0.3">
      <c r="A183">
        <v>182</v>
      </c>
      <c r="B183">
        <v>72</v>
      </c>
      <c r="C183" t="s">
        <v>10</v>
      </c>
      <c r="D183" t="s">
        <v>17</v>
      </c>
      <c r="E183" t="s">
        <v>20</v>
      </c>
      <c r="F183">
        <v>20</v>
      </c>
      <c r="G183" t="s">
        <v>13</v>
      </c>
      <c r="H183">
        <v>9</v>
      </c>
      <c r="I183">
        <v>4</v>
      </c>
      <c r="J183">
        <v>40</v>
      </c>
      <c r="K183">
        <f t="shared" si="4"/>
        <v>5</v>
      </c>
      <c r="L183" t="str">
        <f t="shared" si="5"/>
        <v>High</v>
      </c>
    </row>
    <row r="184" spans="1:12" x14ac:dyDescent="0.3">
      <c r="A184">
        <v>183</v>
      </c>
      <c r="B184">
        <v>31</v>
      </c>
      <c r="C184" t="s">
        <v>16</v>
      </c>
      <c r="D184" t="s">
        <v>11</v>
      </c>
      <c r="E184" t="s">
        <v>15</v>
      </c>
      <c r="F184">
        <v>10</v>
      </c>
      <c r="G184" t="s">
        <v>22</v>
      </c>
      <c r="H184">
        <v>7</v>
      </c>
      <c r="I184">
        <v>3</v>
      </c>
      <c r="J184">
        <v>80</v>
      </c>
      <c r="K184">
        <f t="shared" si="4"/>
        <v>4</v>
      </c>
      <c r="L184" t="str">
        <f t="shared" si="5"/>
        <v>Medium</v>
      </c>
    </row>
    <row r="185" spans="1:12" x14ac:dyDescent="0.3">
      <c r="A185">
        <v>184</v>
      </c>
      <c r="B185">
        <v>56</v>
      </c>
      <c r="C185" t="s">
        <v>16</v>
      </c>
      <c r="D185" t="s">
        <v>14</v>
      </c>
      <c r="E185" t="s">
        <v>20</v>
      </c>
      <c r="F185">
        <v>10</v>
      </c>
      <c r="G185" t="s">
        <v>19</v>
      </c>
      <c r="H185">
        <v>9</v>
      </c>
      <c r="I185">
        <v>2</v>
      </c>
      <c r="J185">
        <v>72</v>
      </c>
      <c r="K185">
        <f t="shared" si="4"/>
        <v>7</v>
      </c>
      <c r="L185" t="str">
        <f t="shared" si="5"/>
        <v>Medium</v>
      </c>
    </row>
    <row r="186" spans="1:12" x14ac:dyDescent="0.3">
      <c r="A186">
        <v>185</v>
      </c>
      <c r="B186">
        <v>44</v>
      </c>
      <c r="C186" t="s">
        <v>10</v>
      </c>
      <c r="D186" t="s">
        <v>11</v>
      </c>
      <c r="E186" t="s">
        <v>15</v>
      </c>
      <c r="F186">
        <v>9</v>
      </c>
      <c r="G186" t="s">
        <v>19</v>
      </c>
      <c r="H186">
        <v>5</v>
      </c>
      <c r="I186">
        <v>4</v>
      </c>
      <c r="J186">
        <v>65</v>
      </c>
      <c r="K186">
        <f t="shared" si="4"/>
        <v>1</v>
      </c>
      <c r="L186" t="str">
        <f t="shared" si="5"/>
        <v>Medium</v>
      </c>
    </row>
    <row r="187" spans="1:12" x14ac:dyDescent="0.3">
      <c r="A187">
        <v>186</v>
      </c>
      <c r="B187">
        <v>26</v>
      </c>
      <c r="C187" t="s">
        <v>16</v>
      </c>
      <c r="D187" t="s">
        <v>14</v>
      </c>
      <c r="E187" t="s">
        <v>12</v>
      </c>
      <c r="F187">
        <v>10</v>
      </c>
      <c r="G187" t="s">
        <v>13</v>
      </c>
      <c r="H187">
        <v>9</v>
      </c>
      <c r="I187">
        <v>1</v>
      </c>
      <c r="J187">
        <v>51</v>
      </c>
      <c r="K187">
        <f t="shared" si="4"/>
        <v>8</v>
      </c>
      <c r="L187" t="str">
        <f t="shared" si="5"/>
        <v>Medium</v>
      </c>
    </row>
    <row r="188" spans="1:12" x14ac:dyDescent="0.3">
      <c r="A188">
        <v>187</v>
      </c>
      <c r="B188">
        <v>32</v>
      </c>
      <c r="C188" t="s">
        <v>16</v>
      </c>
      <c r="D188" t="s">
        <v>21</v>
      </c>
      <c r="E188" t="s">
        <v>12</v>
      </c>
      <c r="F188">
        <v>16</v>
      </c>
      <c r="G188" t="s">
        <v>19</v>
      </c>
      <c r="H188">
        <v>6</v>
      </c>
      <c r="I188">
        <v>4</v>
      </c>
      <c r="J188">
        <v>70</v>
      </c>
      <c r="K188">
        <f t="shared" si="4"/>
        <v>2</v>
      </c>
      <c r="L188" t="str">
        <f t="shared" si="5"/>
        <v>Medium</v>
      </c>
    </row>
    <row r="189" spans="1:12" x14ac:dyDescent="0.3">
      <c r="A189">
        <v>188</v>
      </c>
      <c r="B189">
        <v>32</v>
      </c>
      <c r="C189" t="s">
        <v>16</v>
      </c>
      <c r="D189" t="s">
        <v>14</v>
      </c>
      <c r="E189" t="s">
        <v>12</v>
      </c>
      <c r="F189">
        <v>21</v>
      </c>
      <c r="G189" t="s">
        <v>13</v>
      </c>
      <c r="H189">
        <v>8</v>
      </c>
      <c r="I189">
        <v>0</v>
      </c>
      <c r="J189">
        <v>51</v>
      </c>
      <c r="K189">
        <f t="shared" si="4"/>
        <v>8</v>
      </c>
      <c r="L189" t="str">
        <f t="shared" si="5"/>
        <v>High</v>
      </c>
    </row>
    <row r="190" spans="1:12" x14ac:dyDescent="0.3">
      <c r="A190">
        <v>189</v>
      </c>
      <c r="B190">
        <v>43</v>
      </c>
      <c r="C190" t="s">
        <v>10</v>
      </c>
      <c r="D190" t="s">
        <v>21</v>
      </c>
      <c r="E190" t="s">
        <v>12</v>
      </c>
      <c r="F190">
        <v>8</v>
      </c>
      <c r="G190" t="s">
        <v>19</v>
      </c>
      <c r="H190">
        <v>7</v>
      </c>
      <c r="I190">
        <v>2</v>
      </c>
      <c r="J190">
        <v>65</v>
      </c>
      <c r="K190">
        <f t="shared" si="4"/>
        <v>5</v>
      </c>
      <c r="L190" t="str">
        <f t="shared" si="5"/>
        <v>Low</v>
      </c>
    </row>
    <row r="191" spans="1:12" x14ac:dyDescent="0.3">
      <c r="A191">
        <v>190</v>
      </c>
      <c r="B191">
        <v>59</v>
      </c>
      <c r="C191" t="s">
        <v>16</v>
      </c>
      <c r="D191" t="s">
        <v>14</v>
      </c>
      <c r="E191" t="s">
        <v>12</v>
      </c>
      <c r="F191">
        <v>3</v>
      </c>
      <c r="G191" t="s">
        <v>19</v>
      </c>
      <c r="H191">
        <v>8</v>
      </c>
      <c r="I191">
        <v>1</v>
      </c>
      <c r="J191">
        <v>45</v>
      </c>
      <c r="K191">
        <f t="shared" si="4"/>
        <v>7</v>
      </c>
      <c r="L191" t="str">
        <f t="shared" si="5"/>
        <v>Low</v>
      </c>
    </row>
    <row r="192" spans="1:12" x14ac:dyDescent="0.3">
      <c r="A192">
        <v>191</v>
      </c>
      <c r="B192">
        <v>77</v>
      </c>
      <c r="C192" t="s">
        <v>10</v>
      </c>
      <c r="D192" t="s">
        <v>21</v>
      </c>
      <c r="E192" t="s">
        <v>15</v>
      </c>
      <c r="F192">
        <v>17</v>
      </c>
      <c r="G192" t="s">
        <v>13</v>
      </c>
      <c r="H192">
        <v>9</v>
      </c>
      <c r="I192">
        <v>3</v>
      </c>
      <c r="J192">
        <v>93</v>
      </c>
      <c r="K192">
        <f t="shared" si="4"/>
        <v>6</v>
      </c>
      <c r="L192" t="str">
        <f t="shared" si="5"/>
        <v>High</v>
      </c>
    </row>
    <row r="193" spans="1:12" x14ac:dyDescent="0.3">
      <c r="A193">
        <v>192</v>
      </c>
      <c r="B193">
        <v>30</v>
      </c>
      <c r="C193" t="s">
        <v>16</v>
      </c>
      <c r="D193" t="s">
        <v>14</v>
      </c>
      <c r="E193" t="s">
        <v>15</v>
      </c>
      <c r="F193">
        <v>3</v>
      </c>
      <c r="G193" t="s">
        <v>13</v>
      </c>
      <c r="H193">
        <v>7</v>
      </c>
      <c r="I193">
        <v>5</v>
      </c>
      <c r="J193">
        <v>77</v>
      </c>
      <c r="K193">
        <f t="shared" si="4"/>
        <v>2</v>
      </c>
      <c r="L193" t="str">
        <f t="shared" si="5"/>
        <v>Low</v>
      </c>
    </row>
    <row r="194" spans="1:12" x14ac:dyDescent="0.3">
      <c r="A194">
        <v>193</v>
      </c>
      <c r="B194">
        <v>68</v>
      </c>
      <c r="C194" t="s">
        <v>16</v>
      </c>
      <c r="D194" t="s">
        <v>17</v>
      </c>
      <c r="E194" t="s">
        <v>12</v>
      </c>
      <c r="F194">
        <v>19</v>
      </c>
      <c r="G194" t="s">
        <v>13</v>
      </c>
      <c r="H194">
        <v>9</v>
      </c>
      <c r="I194">
        <v>1</v>
      </c>
      <c r="J194">
        <v>16</v>
      </c>
      <c r="K194">
        <f t="shared" si="4"/>
        <v>8</v>
      </c>
      <c r="L194" t="str">
        <f t="shared" si="5"/>
        <v>High</v>
      </c>
    </row>
    <row r="195" spans="1:12" x14ac:dyDescent="0.3">
      <c r="A195">
        <v>194</v>
      </c>
      <c r="B195">
        <v>49</v>
      </c>
      <c r="C195" t="s">
        <v>16</v>
      </c>
      <c r="D195" t="s">
        <v>14</v>
      </c>
      <c r="E195" t="s">
        <v>20</v>
      </c>
      <c r="F195">
        <v>3</v>
      </c>
      <c r="G195" t="s">
        <v>19</v>
      </c>
      <c r="H195">
        <v>6</v>
      </c>
      <c r="I195">
        <v>3</v>
      </c>
      <c r="J195">
        <v>63</v>
      </c>
      <c r="K195">
        <f t="shared" ref="K195:K258" si="6">H:H-I:I</f>
        <v>3</v>
      </c>
      <c r="L195" t="str">
        <f t="shared" ref="L195:L258" si="7">IF(F:F&lt;=8, "Low", IF(F:F&gt;=17, "High", "Medium"))</f>
        <v>Low</v>
      </c>
    </row>
    <row r="196" spans="1:12" x14ac:dyDescent="0.3">
      <c r="A196">
        <v>195</v>
      </c>
      <c r="B196">
        <v>56</v>
      </c>
      <c r="C196" t="s">
        <v>10</v>
      </c>
      <c r="D196" t="s">
        <v>14</v>
      </c>
      <c r="E196" t="s">
        <v>18</v>
      </c>
      <c r="F196">
        <v>17</v>
      </c>
      <c r="G196" t="s">
        <v>19</v>
      </c>
      <c r="H196">
        <v>5</v>
      </c>
      <c r="I196">
        <v>5</v>
      </c>
      <c r="J196">
        <v>10</v>
      </c>
      <c r="K196">
        <f t="shared" si="6"/>
        <v>0</v>
      </c>
      <c r="L196" t="str">
        <f t="shared" si="7"/>
        <v>High</v>
      </c>
    </row>
    <row r="197" spans="1:12" x14ac:dyDescent="0.3">
      <c r="A197">
        <v>196</v>
      </c>
      <c r="B197">
        <v>66</v>
      </c>
      <c r="C197" t="s">
        <v>16</v>
      </c>
      <c r="D197" t="s">
        <v>17</v>
      </c>
      <c r="E197" t="s">
        <v>12</v>
      </c>
      <c r="F197">
        <v>4</v>
      </c>
      <c r="G197" t="s">
        <v>22</v>
      </c>
      <c r="H197">
        <v>7</v>
      </c>
      <c r="I197">
        <v>5</v>
      </c>
      <c r="J197">
        <v>53</v>
      </c>
      <c r="K197">
        <f t="shared" si="6"/>
        <v>2</v>
      </c>
      <c r="L197" t="str">
        <f t="shared" si="7"/>
        <v>Low</v>
      </c>
    </row>
    <row r="198" spans="1:12" x14ac:dyDescent="0.3">
      <c r="A198">
        <v>197</v>
      </c>
      <c r="B198">
        <v>69</v>
      </c>
      <c r="C198" t="s">
        <v>16</v>
      </c>
      <c r="D198" t="s">
        <v>11</v>
      </c>
      <c r="E198" t="s">
        <v>20</v>
      </c>
      <c r="F198">
        <v>16</v>
      </c>
      <c r="G198" t="s">
        <v>13</v>
      </c>
      <c r="H198">
        <v>6</v>
      </c>
      <c r="I198">
        <v>1</v>
      </c>
      <c r="J198">
        <v>54</v>
      </c>
      <c r="K198">
        <f t="shared" si="6"/>
        <v>5</v>
      </c>
      <c r="L198" t="str">
        <f t="shared" si="7"/>
        <v>Medium</v>
      </c>
    </row>
    <row r="199" spans="1:12" x14ac:dyDescent="0.3">
      <c r="A199">
        <v>198</v>
      </c>
      <c r="B199">
        <v>78</v>
      </c>
      <c r="C199" t="s">
        <v>10</v>
      </c>
      <c r="D199" t="s">
        <v>11</v>
      </c>
      <c r="E199" t="s">
        <v>18</v>
      </c>
      <c r="F199">
        <v>23</v>
      </c>
      <c r="G199" t="s">
        <v>19</v>
      </c>
      <c r="H199">
        <v>6</v>
      </c>
      <c r="I199">
        <v>4</v>
      </c>
      <c r="J199">
        <v>115</v>
      </c>
      <c r="K199">
        <f t="shared" si="6"/>
        <v>2</v>
      </c>
      <c r="L199" t="str">
        <f t="shared" si="7"/>
        <v>High</v>
      </c>
    </row>
    <row r="200" spans="1:12" x14ac:dyDescent="0.3">
      <c r="A200">
        <v>199</v>
      </c>
      <c r="B200">
        <v>49</v>
      </c>
      <c r="C200" t="s">
        <v>16</v>
      </c>
      <c r="D200" t="s">
        <v>14</v>
      </c>
      <c r="E200" t="s">
        <v>12</v>
      </c>
      <c r="F200">
        <v>10</v>
      </c>
      <c r="G200" t="s">
        <v>19</v>
      </c>
      <c r="H200">
        <v>7</v>
      </c>
      <c r="I200">
        <v>4</v>
      </c>
      <c r="J200">
        <v>56</v>
      </c>
      <c r="K200">
        <f t="shared" si="6"/>
        <v>3</v>
      </c>
      <c r="L200" t="str">
        <f t="shared" si="7"/>
        <v>Medium</v>
      </c>
    </row>
    <row r="201" spans="1:12" x14ac:dyDescent="0.3">
      <c r="A201">
        <v>200</v>
      </c>
      <c r="B201">
        <v>21</v>
      </c>
      <c r="C201" t="s">
        <v>10</v>
      </c>
      <c r="D201" t="s">
        <v>17</v>
      </c>
      <c r="E201" t="s">
        <v>12</v>
      </c>
      <c r="F201">
        <v>10</v>
      </c>
      <c r="G201" t="s">
        <v>13</v>
      </c>
      <c r="H201">
        <v>9</v>
      </c>
      <c r="I201">
        <v>5</v>
      </c>
      <c r="J201">
        <v>22</v>
      </c>
      <c r="K201">
        <f t="shared" si="6"/>
        <v>4</v>
      </c>
      <c r="L201" t="str">
        <f t="shared" si="7"/>
        <v>Medium</v>
      </c>
    </row>
    <row r="202" spans="1:12" x14ac:dyDescent="0.3">
      <c r="A202">
        <v>201</v>
      </c>
      <c r="B202">
        <v>47</v>
      </c>
      <c r="C202" t="s">
        <v>10</v>
      </c>
      <c r="D202" t="s">
        <v>14</v>
      </c>
      <c r="E202" t="s">
        <v>15</v>
      </c>
      <c r="F202">
        <v>21</v>
      </c>
      <c r="G202" t="s">
        <v>22</v>
      </c>
      <c r="H202">
        <v>6</v>
      </c>
      <c r="I202">
        <v>4</v>
      </c>
      <c r="J202">
        <v>31</v>
      </c>
      <c r="K202">
        <f t="shared" si="6"/>
        <v>2</v>
      </c>
      <c r="L202" t="str">
        <f t="shared" si="7"/>
        <v>High</v>
      </c>
    </row>
    <row r="203" spans="1:12" x14ac:dyDescent="0.3">
      <c r="A203">
        <v>202</v>
      </c>
      <c r="B203">
        <v>54</v>
      </c>
      <c r="C203" t="s">
        <v>16</v>
      </c>
      <c r="D203" t="s">
        <v>21</v>
      </c>
      <c r="E203" t="s">
        <v>18</v>
      </c>
      <c r="F203">
        <v>9</v>
      </c>
      <c r="G203" t="s">
        <v>13</v>
      </c>
      <c r="H203">
        <v>8</v>
      </c>
      <c r="I203">
        <v>0</v>
      </c>
      <c r="J203">
        <v>30</v>
      </c>
      <c r="K203">
        <f t="shared" si="6"/>
        <v>8</v>
      </c>
      <c r="L203" t="str">
        <f t="shared" si="7"/>
        <v>Medium</v>
      </c>
    </row>
    <row r="204" spans="1:12" x14ac:dyDescent="0.3">
      <c r="A204">
        <v>203</v>
      </c>
      <c r="B204">
        <v>40</v>
      </c>
      <c r="C204" t="s">
        <v>10</v>
      </c>
      <c r="D204" t="s">
        <v>21</v>
      </c>
      <c r="E204" t="s">
        <v>18</v>
      </c>
      <c r="F204">
        <v>21</v>
      </c>
      <c r="G204" t="s">
        <v>22</v>
      </c>
      <c r="H204">
        <v>6</v>
      </c>
      <c r="I204">
        <v>5</v>
      </c>
      <c r="J204">
        <v>95</v>
      </c>
      <c r="K204">
        <f t="shared" si="6"/>
        <v>1</v>
      </c>
      <c r="L204" t="str">
        <f t="shared" si="7"/>
        <v>High</v>
      </c>
    </row>
    <row r="205" spans="1:12" x14ac:dyDescent="0.3">
      <c r="A205">
        <v>204</v>
      </c>
      <c r="B205">
        <v>56</v>
      </c>
      <c r="C205" t="s">
        <v>16</v>
      </c>
      <c r="D205" t="s">
        <v>14</v>
      </c>
      <c r="E205" t="s">
        <v>20</v>
      </c>
      <c r="F205">
        <v>8</v>
      </c>
      <c r="G205" t="s">
        <v>19</v>
      </c>
      <c r="H205">
        <v>9</v>
      </c>
      <c r="I205">
        <v>5</v>
      </c>
      <c r="J205">
        <v>101</v>
      </c>
      <c r="K205">
        <f t="shared" si="6"/>
        <v>4</v>
      </c>
      <c r="L205" t="str">
        <f t="shared" si="7"/>
        <v>Low</v>
      </c>
    </row>
    <row r="206" spans="1:12" x14ac:dyDescent="0.3">
      <c r="A206">
        <v>205</v>
      </c>
      <c r="B206">
        <v>62</v>
      </c>
      <c r="C206" t="s">
        <v>10</v>
      </c>
      <c r="D206" t="s">
        <v>11</v>
      </c>
      <c r="E206" t="s">
        <v>15</v>
      </c>
      <c r="F206">
        <v>8</v>
      </c>
      <c r="G206" t="s">
        <v>22</v>
      </c>
      <c r="H206">
        <v>9</v>
      </c>
      <c r="I206">
        <v>3</v>
      </c>
      <c r="J206">
        <v>18</v>
      </c>
      <c r="K206">
        <f t="shared" si="6"/>
        <v>6</v>
      </c>
      <c r="L206" t="str">
        <f t="shared" si="7"/>
        <v>Low</v>
      </c>
    </row>
    <row r="207" spans="1:12" x14ac:dyDescent="0.3">
      <c r="A207">
        <v>206</v>
      </c>
      <c r="B207">
        <v>32</v>
      </c>
      <c r="C207" t="s">
        <v>10</v>
      </c>
      <c r="D207" t="s">
        <v>11</v>
      </c>
      <c r="E207" t="s">
        <v>15</v>
      </c>
      <c r="F207">
        <v>5</v>
      </c>
      <c r="G207" t="s">
        <v>19</v>
      </c>
      <c r="H207">
        <v>8</v>
      </c>
      <c r="I207">
        <v>4</v>
      </c>
      <c r="J207">
        <v>35</v>
      </c>
      <c r="K207">
        <f t="shared" si="6"/>
        <v>4</v>
      </c>
      <c r="L207" t="str">
        <f t="shared" si="7"/>
        <v>Low</v>
      </c>
    </row>
    <row r="208" spans="1:12" x14ac:dyDescent="0.3">
      <c r="A208">
        <v>207</v>
      </c>
      <c r="B208">
        <v>60</v>
      </c>
      <c r="C208" t="s">
        <v>16</v>
      </c>
      <c r="D208" t="s">
        <v>14</v>
      </c>
      <c r="E208" t="s">
        <v>15</v>
      </c>
      <c r="F208">
        <v>9</v>
      </c>
      <c r="G208" t="s">
        <v>13</v>
      </c>
      <c r="H208">
        <v>6</v>
      </c>
      <c r="I208">
        <v>5</v>
      </c>
      <c r="J208">
        <v>18</v>
      </c>
      <c r="K208">
        <f t="shared" si="6"/>
        <v>1</v>
      </c>
      <c r="L208" t="str">
        <f t="shared" si="7"/>
        <v>Medium</v>
      </c>
    </row>
    <row r="209" spans="1:12" x14ac:dyDescent="0.3">
      <c r="A209">
        <v>208</v>
      </c>
      <c r="B209">
        <v>46</v>
      </c>
      <c r="C209" t="s">
        <v>10</v>
      </c>
      <c r="D209" t="s">
        <v>14</v>
      </c>
      <c r="E209" t="s">
        <v>15</v>
      </c>
      <c r="F209">
        <v>21</v>
      </c>
      <c r="G209" t="s">
        <v>13</v>
      </c>
      <c r="H209">
        <v>9</v>
      </c>
      <c r="I209">
        <v>0</v>
      </c>
      <c r="J209">
        <v>24</v>
      </c>
      <c r="K209">
        <f t="shared" si="6"/>
        <v>9</v>
      </c>
      <c r="L209" t="str">
        <f t="shared" si="7"/>
        <v>High</v>
      </c>
    </row>
    <row r="210" spans="1:12" x14ac:dyDescent="0.3">
      <c r="A210">
        <v>209</v>
      </c>
      <c r="B210">
        <v>53</v>
      </c>
      <c r="C210" t="s">
        <v>10</v>
      </c>
      <c r="D210" t="s">
        <v>21</v>
      </c>
      <c r="E210" t="s">
        <v>18</v>
      </c>
      <c r="F210">
        <v>10</v>
      </c>
      <c r="G210" t="s">
        <v>13</v>
      </c>
      <c r="H210">
        <v>7</v>
      </c>
      <c r="I210">
        <v>3</v>
      </c>
      <c r="J210">
        <v>19</v>
      </c>
      <c r="K210">
        <f t="shared" si="6"/>
        <v>4</v>
      </c>
      <c r="L210" t="str">
        <f t="shared" si="7"/>
        <v>Medium</v>
      </c>
    </row>
    <row r="211" spans="1:12" x14ac:dyDescent="0.3">
      <c r="A211">
        <v>210</v>
      </c>
      <c r="B211">
        <v>30</v>
      </c>
      <c r="C211" t="s">
        <v>10</v>
      </c>
      <c r="D211" t="s">
        <v>11</v>
      </c>
      <c r="E211" t="s">
        <v>18</v>
      </c>
      <c r="F211">
        <v>12</v>
      </c>
      <c r="G211" t="s">
        <v>22</v>
      </c>
      <c r="H211">
        <v>5</v>
      </c>
      <c r="I211">
        <v>1</v>
      </c>
      <c r="J211">
        <v>97</v>
      </c>
      <c r="K211">
        <f t="shared" si="6"/>
        <v>4</v>
      </c>
      <c r="L211" t="str">
        <f t="shared" si="7"/>
        <v>Medium</v>
      </c>
    </row>
    <row r="212" spans="1:12" x14ac:dyDescent="0.3">
      <c r="A212">
        <v>211</v>
      </c>
      <c r="B212">
        <v>49</v>
      </c>
      <c r="C212" t="s">
        <v>10</v>
      </c>
      <c r="D212" t="s">
        <v>14</v>
      </c>
      <c r="E212" t="s">
        <v>12</v>
      </c>
      <c r="F212">
        <v>22</v>
      </c>
      <c r="G212" t="s">
        <v>19</v>
      </c>
      <c r="H212">
        <v>5</v>
      </c>
      <c r="I212">
        <v>5</v>
      </c>
      <c r="J212">
        <v>51</v>
      </c>
      <c r="K212">
        <f t="shared" si="6"/>
        <v>0</v>
      </c>
      <c r="L212" t="str">
        <f t="shared" si="7"/>
        <v>High</v>
      </c>
    </row>
    <row r="213" spans="1:12" x14ac:dyDescent="0.3">
      <c r="A213">
        <v>212</v>
      </c>
      <c r="B213">
        <v>24</v>
      </c>
      <c r="C213" t="s">
        <v>10</v>
      </c>
      <c r="D213" t="s">
        <v>21</v>
      </c>
      <c r="E213" t="s">
        <v>12</v>
      </c>
      <c r="F213">
        <v>17</v>
      </c>
      <c r="G213" t="s">
        <v>13</v>
      </c>
      <c r="H213">
        <v>5</v>
      </c>
      <c r="I213">
        <v>0</v>
      </c>
      <c r="J213">
        <v>81</v>
      </c>
      <c r="K213">
        <f t="shared" si="6"/>
        <v>5</v>
      </c>
      <c r="L213" t="str">
        <f t="shared" si="7"/>
        <v>High</v>
      </c>
    </row>
    <row r="214" spans="1:12" x14ac:dyDescent="0.3">
      <c r="A214">
        <v>213</v>
      </c>
      <c r="B214">
        <v>76</v>
      </c>
      <c r="C214" t="s">
        <v>16</v>
      </c>
      <c r="D214" t="s">
        <v>11</v>
      </c>
      <c r="E214" t="s">
        <v>15</v>
      </c>
      <c r="F214">
        <v>17</v>
      </c>
      <c r="G214" t="s">
        <v>13</v>
      </c>
      <c r="H214">
        <v>6</v>
      </c>
      <c r="I214">
        <v>2</v>
      </c>
      <c r="J214">
        <v>33</v>
      </c>
      <c r="K214">
        <f t="shared" si="6"/>
        <v>4</v>
      </c>
      <c r="L214" t="str">
        <f t="shared" si="7"/>
        <v>High</v>
      </c>
    </row>
    <row r="215" spans="1:12" x14ac:dyDescent="0.3">
      <c r="A215">
        <v>214</v>
      </c>
      <c r="B215">
        <v>68</v>
      </c>
      <c r="C215" t="s">
        <v>10</v>
      </c>
      <c r="D215" t="s">
        <v>17</v>
      </c>
      <c r="E215" t="s">
        <v>15</v>
      </c>
      <c r="F215">
        <v>3</v>
      </c>
      <c r="G215" t="s">
        <v>19</v>
      </c>
      <c r="H215">
        <v>8</v>
      </c>
      <c r="I215">
        <v>0</v>
      </c>
      <c r="J215">
        <v>89</v>
      </c>
      <c r="K215">
        <f t="shared" si="6"/>
        <v>8</v>
      </c>
      <c r="L215" t="str">
        <f t="shared" si="7"/>
        <v>Low</v>
      </c>
    </row>
    <row r="216" spans="1:12" x14ac:dyDescent="0.3">
      <c r="A216">
        <v>215</v>
      </c>
      <c r="B216">
        <v>39</v>
      </c>
      <c r="C216" t="s">
        <v>16</v>
      </c>
      <c r="D216" t="s">
        <v>21</v>
      </c>
      <c r="E216" t="s">
        <v>15</v>
      </c>
      <c r="F216">
        <v>22</v>
      </c>
      <c r="G216" t="s">
        <v>13</v>
      </c>
      <c r="H216">
        <v>9</v>
      </c>
      <c r="I216">
        <v>0</v>
      </c>
      <c r="J216">
        <v>58</v>
      </c>
      <c r="K216">
        <f t="shared" si="6"/>
        <v>9</v>
      </c>
      <c r="L216" t="str">
        <f t="shared" si="7"/>
        <v>High</v>
      </c>
    </row>
    <row r="217" spans="1:12" x14ac:dyDescent="0.3">
      <c r="A217">
        <v>216</v>
      </c>
      <c r="B217">
        <v>45</v>
      </c>
      <c r="C217" t="s">
        <v>10</v>
      </c>
      <c r="D217" t="s">
        <v>11</v>
      </c>
      <c r="E217" t="s">
        <v>12</v>
      </c>
      <c r="F217">
        <v>9</v>
      </c>
      <c r="G217" t="s">
        <v>19</v>
      </c>
      <c r="H217">
        <v>7</v>
      </c>
      <c r="I217">
        <v>3</v>
      </c>
      <c r="J217">
        <v>35</v>
      </c>
      <c r="K217">
        <f t="shared" si="6"/>
        <v>4</v>
      </c>
      <c r="L217" t="str">
        <f t="shared" si="7"/>
        <v>Medium</v>
      </c>
    </row>
    <row r="218" spans="1:12" x14ac:dyDescent="0.3">
      <c r="A218">
        <v>217</v>
      </c>
      <c r="B218">
        <v>19</v>
      </c>
      <c r="C218" t="s">
        <v>16</v>
      </c>
      <c r="D218" t="s">
        <v>11</v>
      </c>
      <c r="E218" t="s">
        <v>20</v>
      </c>
      <c r="F218">
        <v>6</v>
      </c>
      <c r="G218" t="s">
        <v>19</v>
      </c>
      <c r="H218">
        <v>7</v>
      </c>
      <c r="I218">
        <v>1</v>
      </c>
      <c r="J218">
        <v>100</v>
      </c>
      <c r="K218">
        <f t="shared" si="6"/>
        <v>6</v>
      </c>
      <c r="L218" t="str">
        <f t="shared" si="7"/>
        <v>Low</v>
      </c>
    </row>
    <row r="219" spans="1:12" x14ac:dyDescent="0.3">
      <c r="A219">
        <v>218</v>
      </c>
      <c r="B219">
        <v>59</v>
      </c>
      <c r="C219" t="s">
        <v>16</v>
      </c>
      <c r="D219" t="s">
        <v>21</v>
      </c>
      <c r="E219" t="s">
        <v>20</v>
      </c>
      <c r="F219">
        <v>8</v>
      </c>
      <c r="G219" t="s">
        <v>19</v>
      </c>
      <c r="H219">
        <v>6</v>
      </c>
      <c r="I219">
        <v>2</v>
      </c>
      <c r="J219">
        <v>46</v>
      </c>
      <c r="K219">
        <f t="shared" si="6"/>
        <v>4</v>
      </c>
      <c r="L219" t="str">
        <f t="shared" si="7"/>
        <v>Low</v>
      </c>
    </row>
    <row r="220" spans="1:12" x14ac:dyDescent="0.3">
      <c r="A220">
        <v>219</v>
      </c>
      <c r="B220">
        <v>62</v>
      </c>
      <c r="C220" t="s">
        <v>10</v>
      </c>
      <c r="D220" t="s">
        <v>17</v>
      </c>
      <c r="E220" t="s">
        <v>12</v>
      </c>
      <c r="F220">
        <v>3</v>
      </c>
      <c r="G220" t="s">
        <v>19</v>
      </c>
      <c r="H220">
        <v>5</v>
      </c>
      <c r="I220">
        <v>4</v>
      </c>
      <c r="J220">
        <v>77</v>
      </c>
      <c r="K220">
        <f t="shared" si="6"/>
        <v>1</v>
      </c>
      <c r="L220" t="str">
        <f t="shared" si="7"/>
        <v>Low</v>
      </c>
    </row>
    <row r="221" spans="1:12" x14ac:dyDescent="0.3">
      <c r="A221">
        <v>220</v>
      </c>
      <c r="B221">
        <v>79</v>
      </c>
      <c r="C221" t="s">
        <v>10</v>
      </c>
      <c r="D221" t="s">
        <v>21</v>
      </c>
      <c r="E221" t="s">
        <v>12</v>
      </c>
      <c r="F221">
        <v>7</v>
      </c>
      <c r="G221" t="s">
        <v>19</v>
      </c>
      <c r="H221">
        <v>6</v>
      </c>
      <c r="I221">
        <v>4</v>
      </c>
      <c r="J221">
        <v>59</v>
      </c>
      <c r="K221">
        <f t="shared" si="6"/>
        <v>2</v>
      </c>
      <c r="L221" t="str">
        <f t="shared" si="7"/>
        <v>Low</v>
      </c>
    </row>
    <row r="222" spans="1:12" x14ac:dyDescent="0.3">
      <c r="A222">
        <v>221</v>
      </c>
      <c r="B222">
        <v>74</v>
      </c>
      <c r="C222" t="s">
        <v>10</v>
      </c>
      <c r="D222" t="s">
        <v>11</v>
      </c>
      <c r="E222" t="s">
        <v>12</v>
      </c>
      <c r="F222">
        <v>3</v>
      </c>
      <c r="G222" t="s">
        <v>22</v>
      </c>
      <c r="H222">
        <v>8</v>
      </c>
      <c r="I222">
        <v>0</v>
      </c>
      <c r="J222">
        <v>33</v>
      </c>
      <c r="K222">
        <f t="shared" si="6"/>
        <v>8</v>
      </c>
      <c r="L222" t="str">
        <f t="shared" si="7"/>
        <v>Low</v>
      </c>
    </row>
    <row r="223" spans="1:12" x14ac:dyDescent="0.3">
      <c r="A223">
        <v>222</v>
      </c>
      <c r="B223">
        <v>70</v>
      </c>
      <c r="C223" t="s">
        <v>16</v>
      </c>
      <c r="D223" t="s">
        <v>14</v>
      </c>
      <c r="E223" t="s">
        <v>12</v>
      </c>
      <c r="F223">
        <v>6</v>
      </c>
      <c r="G223" t="s">
        <v>13</v>
      </c>
      <c r="H223">
        <v>8</v>
      </c>
      <c r="I223">
        <v>3</v>
      </c>
      <c r="J223">
        <v>28</v>
      </c>
      <c r="K223">
        <f t="shared" si="6"/>
        <v>5</v>
      </c>
      <c r="L223" t="str">
        <f t="shared" si="7"/>
        <v>Low</v>
      </c>
    </row>
    <row r="224" spans="1:12" x14ac:dyDescent="0.3">
      <c r="A224">
        <v>223</v>
      </c>
      <c r="B224">
        <v>23</v>
      </c>
      <c r="C224" t="s">
        <v>10</v>
      </c>
      <c r="D224" t="s">
        <v>14</v>
      </c>
      <c r="E224" t="s">
        <v>12</v>
      </c>
      <c r="F224">
        <v>24</v>
      </c>
      <c r="G224" t="s">
        <v>22</v>
      </c>
      <c r="H224">
        <v>9</v>
      </c>
      <c r="I224">
        <v>3</v>
      </c>
      <c r="J224">
        <v>109</v>
      </c>
      <c r="K224">
        <f t="shared" si="6"/>
        <v>6</v>
      </c>
      <c r="L224" t="str">
        <f t="shared" si="7"/>
        <v>High</v>
      </c>
    </row>
    <row r="225" spans="1:12" x14ac:dyDescent="0.3">
      <c r="A225">
        <v>224</v>
      </c>
      <c r="B225">
        <v>45</v>
      </c>
      <c r="C225" t="s">
        <v>16</v>
      </c>
      <c r="D225" t="s">
        <v>21</v>
      </c>
      <c r="E225" t="s">
        <v>12</v>
      </c>
      <c r="F225">
        <v>4</v>
      </c>
      <c r="G225" t="s">
        <v>13</v>
      </c>
      <c r="H225">
        <v>9</v>
      </c>
      <c r="I225">
        <v>4</v>
      </c>
      <c r="J225">
        <v>69</v>
      </c>
      <c r="K225">
        <f t="shared" si="6"/>
        <v>5</v>
      </c>
      <c r="L225" t="str">
        <f t="shared" si="7"/>
        <v>Low</v>
      </c>
    </row>
    <row r="226" spans="1:12" x14ac:dyDescent="0.3">
      <c r="A226">
        <v>225</v>
      </c>
      <c r="B226">
        <v>45</v>
      </c>
      <c r="C226" t="s">
        <v>16</v>
      </c>
      <c r="D226" t="s">
        <v>11</v>
      </c>
      <c r="E226" t="s">
        <v>15</v>
      </c>
      <c r="F226">
        <v>12</v>
      </c>
      <c r="G226" t="s">
        <v>22</v>
      </c>
      <c r="H226">
        <v>8</v>
      </c>
      <c r="I226">
        <v>2</v>
      </c>
      <c r="J226">
        <v>48</v>
      </c>
      <c r="K226">
        <f t="shared" si="6"/>
        <v>6</v>
      </c>
      <c r="L226" t="str">
        <f t="shared" si="7"/>
        <v>Medium</v>
      </c>
    </row>
    <row r="227" spans="1:12" x14ac:dyDescent="0.3">
      <c r="A227">
        <v>226</v>
      </c>
      <c r="B227">
        <v>61</v>
      </c>
      <c r="C227" t="s">
        <v>16</v>
      </c>
      <c r="D227" t="s">
        <v>14</v>
      </c>
      <c r="E227" t="s">
        <v>15</v>
      </c>
      <c r="F227">
        <v>7</v>
      </c>
      <c r="G227" t="s">
        <v>19</v>
      </c>
      <c r="H227">
        <v>8</v>
      </c>
      <c r="I227">
        <v>1</v>
      </c>
      <c r="J227">
        <v>83</v>
      </c>
      <c r="K227">
        <f t="shared" si="6"/>
        <v>7</v>
      </c>
      <c r="L227" t="str">
        <f t="shared" si="7"/>
        <v>Low</v>
      </c>
    </row>
    <row r="228" spans="1:12" x14ac:dyDescent="0.3">
      <c r="A228">
        <v>227</v>
      </c>
      <c r="B228">
        <v>61</v>
      </c>
      <c r="C228" t="s">
        <v>10</v>
      </c>
      <c r="D228" t="s">
        <v>11</v>
      </c>
      <c r="E228" t="s">
        <v>15</v>
      </c>
      <c r="F228">
        <v>12</v>
      </c>
      <c r="G228" t="s">
        <v>13</v>
      </c>
      <c r="H228">
        <v>8</v>
      </c>
      <c r="I228">
        <v>2</v>
      </c>
      <c r="J228">
        <v>98</v>
      </c>
      <c r="K228">
        <f t="shared" si="6"/>
        <v>6</v>
      </c>
      <c r="L228" t="str">
        <f t="shared" si="7"/>
        <v>Medium</v>
      </c>
    </row>
    <row r="229" spans="1:12" x14ac:dyDescent="0.3">
      <c r="A229">
        <v>228</v>
      </c>
      <c r="B229">
        <v>37</v>
      </c>
      <c r="C229" t="s">
        <v>10</v>
      </c>
      <c r="D229" t="s">
        <v>21</v>
      </c>
      <c r="E229" t="s">
        <v>15</v>
      </c>
      <c r="F229">
        <v>3</v>
      </c>
      <c r="G229" t="s">
        <v>13</v>
      </c>
      <c r="H229">
        <v>6</v>
      </c>
      <c r="I229">
        <v>5</v>
      </c>
      <c r="J229">
        <v>27</v>
      </c>
      <c r="K229">
        <f t="shared" si="6"/>
        <v>1</v>
      </c>
      <c r="L229" t="str">
        <f t="shared" si="7"/>
        <v>Low</v>
      </c>
    </row>
    <row r="230" spans="1:12" x14ac:dyDescent="0.3">
      <c r="A230">
        <v>229</v>
      </c>
      <c r="B230">
        <v>47</v>
      </c>
      <c r="C230" t="s">
        <v>16</v>
      </c>
      <c r="D230" t="s">
        <v>14</v>
      </c>
      <c r="E230" t="s">
        <v>12</v>
      </c>
      <c r="F230">
        <v>24</v>
      </c>
      <c r="G230" t="s">
        <v>22</v>
      </c>
      <c r="H230">
        <v>8</v>
      </c>
      <c r="I230">
        <v>5</v>
      </c>
      <c r="J230">
        <v>28</v>
      </c>
      <c r="K230">
        <f t="shared" si="6"/>
        <v>3</v>
      </c>
      <c r="L230" t="str">
        <f t="shared" si="7"/>
        <v>High</v>
      </c>
    </row>
    <row r="231" spans="1:12" x14ac:dyDescent="0.3">
      <c r="A231">
        <v>230</v>
      </c>
      <c r="B231">
        <v>79</v>
      </c>
      <c r="C231" t="s">
        <v>16</v>
      </c>
      <c r="D231" t="s">
        <v>11</v>
      </c>
      <c r="E231" t="s">
        <v>20</v>
      </c>
      <c r="F231">
        <v>8</v>
      </c>
      <c r="G231" t="s">
        <v>22</v>
      </c>
      <c r="H231">
        <v>7</v>
      </c>
      <c r="I231">
        <v>1</v>
      </c>
      <c r="J231">
        <v>45</v>
      </c>
      <c r="K231">
        <f t="shared" si="6"/>
        <v>6</v>
      </c>
      <c r="L231" t="str">
        <f t="shared" si="7"/>
        <v>Low</v>
      </c>
    </row>
    <row r="232" spans="1:12" x14ac:dyDescent="0.3">
      <c r="A232">
        <v>231</v>
      </c>
      <c r="B232">
        <v>28</v>
      </c>
      <c r="C232" t="s">
        <v>10</v>
      </c>
      <c r="D232" t="s">
        <v>14</v>
      </c>
      <c r="E232" t="s">
        <v>18</v>
      </c>
      <c r="F232">
        <v>15</v>
      </c>
      <c r="G232" t="s">
        <v>13</v>
      </c>
      <c r="H232">
        <v>5</v>
      </c>
      <c r="I232">
        <v>4</v>
      </c>
      <c r="J232">
        <v>83</v>
      </c>
      <c r="K232">
        <f t="shared" si="6"/>
        <v>1</v>
      </c>
      <c r="L232" t="str">
        <f t="shared" si="7"/>
        <v>Medium</v>
      </c>
    </row>
    <row r="233" spans="1:12" x14ac:dyDescent="0.3">
      <c r="A233">
        <v>232</v>
      </c>
      <c r="B233">
        <v>75</v>
      </c>
      <c r="C233" t="s">
        <v>16</v>
      </c>
      <c r="D233" t="s">
        <v>21</v>
      </c>
      <c r="E233" t="s">
        <v>12</v>
      </c>
      <c r="F233">
        <v>17</v>
      </c>
      <c r="G233" t="s">
        <v>22</v>
      </c>
      <c r="H233">
        <v>8</v>
      </c>
      <c r="I233">
        <v>1</v>
      </c>
      <c r="J233">
        <v>106</v>
      </c>
      <c r="K233">
        <f t="shared" si="6"/>
        <v>7</v>
      </c>
      <c r="L233" t="str">
        <f t="shared" si="7"/>
        <v>High</v>
      </c>
    </row>
    <row r="234" spans="1:12" x14ac:dyDescent="0.3">
      <c r="A234">
        <v>233</v>
      </c>
      <c r="B234">
        <v>72</v>
      </c>
      <c r="C234" t="s">
        <v>10</v>
      </c>
      <c r="D234" t="s">
        <v>11</v>
      </c>
      <c r="E234" t="s">
        <v>18</v>
      </c>
      <c r="F234">
        <v>6</v>
      </c>
      <c r="G234" t="s">
        <v>22</v>
      </c>
      <c r="H234">
        <v>5</v>
      </c>
      <c r="I234">
        <v>3</v>
      </c>
      <c r="J234">
        <v>64</v>
      </c>
      <c r="K234">
        <f t="shared" si="6"/>
        <v>2</v>
      </c>
      <c r="L234" t="str">
        <f t="shared" si="7"/>
        <v>Low</v>
      </c>
    </row>
    <row r="235" spans="1:12" x14ac:dyDescent="0.3">
      <c r="A235">
        <v>234</v>
      </c>
      <c r="B235">
        <v>45</v>
      </c>
      <c r="C235" t="s">
        <v>16</v>
      </c>
      <c r="D235" t="s">
        <v>14</v>
      </c>
      <c r="E235" t="s">
        <v>20</v>
      </c>
      <c r="F235">
        <v>15</v>
      </c>
      <c r="G235" t="s">
        <v>22</v>
      </c>
      <c r="H235">
        <v>6</v>
      </c>
      <c r="I235">
        <v>5</v>
      </c>
      <c r="J235">
        <v>78</v>
      </c>
      <c r="K235">
        <f t="shared" si="6"/>
        <v>1</v>
      </c>
      <c r="L235" t="str">
        <f t="shared" si="7"/>
        <v>Medium</v>
      </c>
    </row>
    <row r="236" spans="1:12" x14ac:dyDescent="0.3">
      <c r="A236">
        <v>235</v>
      </c>
      <c r="B236">
        <v>42</v>
      </c>
      <c r="C236" t="s">
        <v>10</v>
      </c>
      <c r="D236" t="s">
        <v>21</v>
      </c>
      <c r="E236" t="s">
        <v>15</v>
      </c>
      <c r="F236">
        <v>22</v>
      </c>
      <c r="G236" t="s">
        <v>19</v>
      </c>
      <c r="H236">
        <v>5</v>
      </c>
      <c r="I236">
        <v>0</v>
      </c>
      <c r="J236">
        <v>56</v>
      </c>
      <c r="K236">
        <f t="shared" si="6"/>
        <v>5</v>
      </c>
      <c r="L236" t="str">
        <f t="shared" si="7"/>
        <v>High</v>
      </c>
    </row>
    <row r="237" spans="1:12" x14ac:dyDescent="0.3">
      <c r="A237">
        <v>236</v>
      </c>
      <c r="B237">
        <v>56</v>
      </c>
      <c r="C237" t="s">
        <v>16</v>
      </c>
      <c r="D237" t="s">
        <v>14</v>
      </c>
      <c r="E237" t="s">
        <v>20</v>
      </c>
      <c r="F237">
        <v>17</v>
      </c>
      <c r="G237" t="s">
        <v>19</v>
      </c>
      <c r="H237">
        <v>6</v>
      </c>
      <c r="I237">
        <v>0</v>
      </c>
      <c r="J237">
        <v>58</v>
      </c>
      <c r="K237">
        <f t="shared" si="6"/>
        <v>6</v>
      </c>
      <c r="L237" t="str">
        <f t="shared" si="7"/>
        <v>High</v>
      </c>
    </row>
    <row r="238" spans="1:12" x14ac:dyDescent="0.3">
      <c r="A238">
        <v>237</v>
      </c>
      <c r="B238">
        <v>79</v>
      </c>
      <c r="C238" t="s">
        <v>10</v>
      </c>
      <c r="D238" t="s">
        <v>14</v>
      </c>
      <c r="E238" t="s">
        <v>12</v>
      </c>
      <c r="F238">
        <v>10</v>
      </c>
      <c r="G238" t="s">
        <v>22</v>
      </c>
      <c r="H238">
        <v>7</v>
      </c>
      <c r="I238">
        <v>4</v>
      </c>
      <c r="J238">
        <v>108</v>
      </c>
      <c r="K238">
        <f t="shared" si="6"/>
        <v>3</v>
      </c>
      <c r="L238" t="str">
        <f t="shared" si="7"/>
        <v>Medium</v>
      </c>
    </row>
    <row r="239" spans="1:12" x14ac:dyDescent="0.3">
      <c r="A239">
        <v>238</v>
      </c>
      <c r="B239">
        <v>50</v>
      </c>
      <c r="C239" t="s">
        <v>16</v>
      </c>
      <c r="D239" t="s">
        <v>17</v>
      </c>
      <c r="E239" t="s">
        <v>15</v>
      </c>
      <c r="F239">
        <v>7</v>
      </c>
      <c r="G239" t="s">
        <v>22</v>
      </c>
      <c r="H239">
        <v>6</v>
      </c>
      <c r="I239">
        <v>3</v>
      </c>
      <c r="J239">
        <v>117</v>
      </c>
      <c r="K239">
        <f t="shared" si="6"/>
        <v>3</v>
      </c>
      <c r="L239" t="str">
        <f t="shared" si="7"/>
        <v>Low</v>
      </c>
    </row>
    <row r="240" spans="1:12" x14ac:dyDescent="0.3">
      <c r="A240">
        <v>239</v>
      </c>
      <c r="B240">
        <v>18</v>
      </c>
      <c r="C240" t="s">
        <v>10</v>
      </c>
      <c r="D240" t="s">
        <v>17</v>
      </c>
      <c r="E240" t="s">
        <v>12</v>
      </c>
      <c r="F240">
        <v>17</v>
      </c>
      <c r="G240" t="s">
        <v>19</v>
      </c>
      <c r="H240">
        <v>6</v>
      </c>
      <c r="I240">
        <v>2</v>
      </c>
      <c r="J240">
        <v>107</v>
      </c>
      <c r="K240">
        <f t="shared" si="6"/>
        <v>4</v>
      </c>
      <c r="L240" t="str">
        <f t="shared" si="7"/>
        <v>High</v>
      </c>
    </row>
    <row r="241" spans="1:12" x14ac:dyDescent="0.3">
      <c r="A241">
        <v>240</v>
      </c>
      <c r="B241">
        <v>74</v>
      </c>
      <c r="C241" t="s">
        <v>10</v>
      </c>
      <c r="D241" t="s">
        <v>21</v>
      </c>
      <c r="E241" t="s">
        <v>15</v>
      </c>
      <c r="F241">
        <v>6</v>
      </c>
      <c r="G241" t="s">
        <v>19</v>
      </c>
      <c r="H241">
        <v>9</v>
      </c>
      <c r="I241">
        <v>3</v>
      </c>
      <c r="J241">
        <v>42</v>
      </c>
      <c r="K241">
        <f t="shared" si="6"/>
        <v>6</v>
      </c>
      <c r="L241" t="str">
        <f t="shared" si="7"/>
        <v>Low</v>
      </c>
    </row>
    <row r="242" spans="1:12" x14ac:dyDescent="0.3">
      <c r="A242">
        <v>241</v>
      </c>
      <c r="B242">
        <v>44</v>
      </c>
      <c r="C242" t="s">
        <v>16</v>
      </c>
      <c r="D242" t="s">
        <v>17</v>
      </c>
      <c r="E242" t="s">
        <v>18</v>
      </c>
      <c r="F242">
        <v>14</v>
      </c>
      <c r="G242" t="s">
        <v>13</v>
      </c>
      <c r="H242">
        <v>8</v>
      </c>
      <c r="I242">
        <v>0</v>
      </c>
      <c r="J242">
        <v>30</v>
      </c>
      <c r="K242">
        <f t="shared" si="6"/>
        <v>8</v>
      </c>
      <c r="L242" t="str">
        <f t="shared" si="7"/>
        <v>Medium</v>
      </c>
    </row>
    <row r="243" spans="1:12" x14ac:dyDescent="0.3">
      <c r="A243">
        <v>242</v>
      </c>
      <c r="B243">
        <v>79</v>
      </c>
      <c r="C243" t="s">
        <v>16</v>
      </c>
      <c r="D243" t="s">
        <v>21</v>
      </c>
      <c r="E243" t="s">
        <v>18</v>
      </c>
      <c r="F243">
        <v>15</v>
      </c>
      <c r="G243" t="s">
        <v>13</v>
      </c>
      <c r="H243">
        <v>8</v>
      </c>
      <c r="I243">
        <v>0</v>
      </c>
      <c r="J243">
        <v>90</v>
      </c>
      <c r="K243">
        <f t="shared" si="6"/>
        <v>8</v>
      </c>
      <c r="L243" t="str">
        <f t="shared" si="7"/>
        <v>Medium</v>
      </c>
    </row>
    <row r="244" spans="1:12" x14ac:dyDescent="0.3">
      <c r="A244">
        <v>243</v>
      </c>
      <c r="B244">
        <v>74</v>
      </c>
      <c r="C244" t="s">
        <v>10</v>
      </c>
      <c r="D244" t="s">
        <v>17</v>
      </c>
      <c r="E244" t="s">
        <v>18</v>
      </c>
      <c r="F244">
        <v>4</v>
      </c>
      <c r="G244" t="s">
        <v>19</v>
      </c>
      <c r="H244">
        <v>7</v>
      </c>
      <c r="I244">
        <v>5</v>
      </c>
      <c r="J244">
        <v>31</v>
      </c>
      <c r="K244">
        <f t="shared" si="6"/>
        <v>2</v>
      </c>
      <c r="L244" t="str">
        <f t="shared" si="7"/>
        <v>Low</v>
      </c>
    </row>
    <row r="245" spans="1:12" x14ac:dyDescent="0.3">
      <c r="A245">
        <v>244</v>
      </c>
      <c r="B245">
        <v>69</v>
      </c>
      <c r="C245" t="s">
        <v>16</v>
      </c>
      <c r="D245" t="s">
        <v>14</v>
      </c>
      <c r="E245" t="s">
        <v>20</v>
      </c>
      <c r="F245">
        <v>21</v>
      </c>
      <c r="G245" t="s">
        <v>22</v>
      </c>
      <c r="H245">
        <v>7</v>
      </c>
      <c r="I245">
        <v>3</v>
      </c>
      <c r="J245">
        <v>57</v>
      </c>
      <c r="K245">
        <f t="shared" si="6"/>
        <v>4</v>
      </c>
      <c r="L245" t="str">
        <f t="shared" si="7"/>
        <v>High</v>
      </c>
    </row>
    <row r="246" spans="1:12" x14ac:dyDescent="0.3">
      <c r="A246">
        <v>245</v>
      </c>
      <c r="B246">
        <v>30</v>
      </c>
      <c r="C246" t="s">
        <v>10</v>
      </c>
      <c r="D246" t="s">
        <v>21</v>
      </c>
      <c r="E246" t="s">
        <v>12</v>
      </c>
      <c r="F246">
        <v>21</v>
      </c>
      <c r="G246" t="s">
        <v>22</v>
      </c>
      <c r="H246">
        <v>8</v>
      </c>
      <c r="I246">
        <v>3</v>
      </c>
      <c r="J246">
        <v>46</v>
      </c>
      <c r="K246">
        <f t="shared" si="6"/>
        <v>5</v>
      </c>
      <c r="L246" t="str">
        <f t="shared" si="7"/>
        <v>High</v>
      </c>
    </row>
    <row r="247" spans="1:12" x14ac:dyDescent="0.3">
      <c r="A247">
        <v>246</v>
      </c>
      <c r="B247">
        <v>58</v>
      </c>
      <c r="C247" t="s">
        <v>16</v>
      </c>
      <c r="D247" t="s">
        <v>21</v>
      </c>
      <c r="E247" t="s">
        <v>20</v>
      </c>
      <c r="F247">
        <v>6</v>
      </c>
      <c r="G247" t="s">
        <v>22</v>
      </c>
      <c r="H247">
        <v>9</v>
      </c>
      <c r="I247">
        <v>0</v>
      </c>
      <c r="J247">
        <v>24</v>
      </c>
      <c r="K247">
        <f t="shared" si="6"/>
        <v>9</v>
      </c>
      <c r="L247" t="str">
        <f t="shared" si="7"/>
        <v>Low</v>
      </c>
    </row>
    <row r="248" spans="1:12" x14ac:dyDescent="0.3">
      <c r="A248">
        <v>247</v>
      </c>
      <c r="B248">
        <v>20</v>
      </c>
      <c r="C248" t="s">
        <v>10</v>
      </c>
      <c r="D248" t="s">
        <v>14</v>
      </c>
      <c r="E248" t="s">
        <v>18</v>
      </c>
      <c r="F248">
        <v>6</v>
      </c>
      <c r="G248" t="s">
        <v>22</v>
      </c>
      <c r="H248">
        <v>8</v>
      </c>
      <c r="I248">
        <v>2</v>
      </c>
      <c r="J248">
        <v>44</v>
      </c>
      <c r="K248">
        <f t="shared" si="6"/>
        <v>6</v>
      </c>
      <c r="L248" t="str">
        <f t="shared" si="7"/>
        <v>Low</v>
      </c>
    </row>
    <row r="249" spans="1:12" x14ac:dyDescent="0.3">
      <c r="A249">
        <v>248</v>
      </c>
      <c r="B249">
        <v>56</v>
      </c>
      <c r="C249" t="s">
        <v>10</v>
      </c>
      <c r="D249" t="s">
        <v>21</v>
      </c>
      <c r="E249" t="s">
        <v>12</v>
      </c>
      <c r="F249">
        <v>13</v>
      </c>
      <c r="G249" t="s">
        <v>13</v>
      </c>
      <c r="H249">
        <v>9</v>
      </c>
      <c r="I249">
        <v>4</v>
      </c>
      <c r="J249">
        <v>101</v>
      </c>
      <c r="K249">
        <f t="shared" si="6"/>
        <v>5</v>
      </c>
      <c r="L249" t="str">
        <f t="shared" si="7"/>
        <v>Medium</v>
      </c>
    </row>
    <row r="250" spans="1:12" x14ac:dyDescent="0.3">
      <c r="A250">
        <v>249</v>
      </c>
      <c r="B250">
        <v>23</v>
      </c>
      <c r="C250" t="s">
        <v>10</v>
      </c>
      <c r="D250" t="s">
        <v>21</v>
      </c>
      <c r="E250" t="s">
        <v>18</v>
      </c>
      <c r="F250">
        <v>7</v>
      </c>
      <c r="G250" t="s">
        <v>19</v>
      </c>
      <c r="H250">
        <v>7</v>
      </c>
      <c r="I250">
        <v>4</v>
      </c>
      <c r="J250">
        <v>80</v>
      </c>
      <c r="K250">
        <f t="shared" si="6"/>
        <v>3</v>
      </c>
      <c r="L250" t="str">
        <f t="shared" si="7"/>
        <v>Low</v>
      </c>
    </row>
    <row r="251" spans="1:12" x14ac:dyDescent="0.3">
      <c r="A251">
        <v>250</v>
      </c>
      <c r="B251">
        <v>25</v>
      </c>
      <c r="C251" t="s">
        <v>10</v>
      </c>
      <c r="D251" t="s">
        <v>17</v>
      </c>
      <c r="E251" t="s">
        <v>20</v>
      </c>
      <c r="F251">
        <v>22</v>
      </c>
      <c r="G251" t="s">
        <v>22</v>
      </c>
      <c r="H251">
        <v>5</v>
      </c>
      <c r="I251">
        <v>3</v>
      </c>
      <c r="J251">
        <v>41</v>
      </c>
      <c r="K251">
        <f t="shared" si="6"/>
        <v>2</v>
      </c>
      <c r="L251" t="str">
        <f t="shared" si="7"/>
        <v>High</v>
      </c>
    </row>
    <row r="252" spans="1:12" x14ac:dyDescent="0.3">
      <c r="A252">
        <v>251</v>
      </c>
      <c r="B252">
        <v>44</v>
      </c>
      <c r="C252" t="s">
        <v>10</v>
      </c>
      <c r="D252" t="s">
        <v>21</v>
      </c>
      <c r="E252" t="s">
        <v>20</v>
      </c>
      <c r="F252">
        <v>13</v>
      </c>
      <c r="G252" t="s">
        <v>13</v>
      </c>
      <c r="H252">
        <v>7</v>
      </c>
      <c r="I252">
        <v>4</v>
      </c>
      <c r="J252">
        <v>20</v>
      </c>
      <c r="K252">
        <f t="shared" si="6"/>
        <v>3</v>
      </c>
      <c r="L252" t="str">
        <f t="shared" si="7"/>
        <v>Medium</v>
      </c>
    </row>
    <row r="253" spans="1:12" x14ac:dyDescent="0.3">
      <c r="A253">
        <v>252</v>
      </c>
      <c r="B253">
        <v>26</v>
      </c>
      <c r="C253" t="s">
        <v>10</v>
      </c>
      <c r="D253" t="s">
        <v>11</v>
      </c>
      <c r="E253" t="s">
        <v>20</v>
      </c>
      <c r="F253">
        <v>12</v>
      </c>
      <c r="G253" t="s">
        <v>22</v>
      </c>
      <c r="H253">
        <v>7</v>
      </c>
      <c r="I253">
        <v>0</v>
      </c>
      <c r="J253">
        <v>19</v>
      </c>
      <c r="K253">
        <f t="shared" si="6"/>
        <v>7</v>
      </c>
      <c r="L253" t="str">
        <f t="shared" si="7"/>
        <v>Medium</v>
      </c>
    </row>
    <row r="254" spans="1:12" x14ac:dyDescent="0.3">
      <c r="A254">
        <v>253</v>
      </c>
      <c r="B254">
        <v>79</v>
      </c>
      <c r="C254" t="s">
        <v>16</v>
      </c>
      <c r="D254" t="s">
        <v>14</v>
      </c>
      <c r="E254" t="s">
        <v>18</v>
      </c>
      <c r="F254">
        <v>10</v>
      </c>
      <c r="G254" t="s">
        <v>19</v>
      </c>
      <c r="H254">
        <v>6</v>
      </c>
      <c r="I254">
        <v>0</v>
      </c>
      <c r="J254">
        <v>82</v>
      </c>
      <c r="K254">
        <f t="shared" si="6"/>
        <v>6</v>
      </c>
      <c r="L254" t="str">
        <f t="shared" si="7"/>
        <v>Medium</v>
      </c>
    </row>
    <row r="255" spans="1:12" x14ac:dyDescent="0.3">
      <c r="A255">
        <v>254</v>
      </c>
      <c r="B255">
        <v>54</v>
      </c>
      <c r="C255" t="s">
        <v>16</v>
      </c>
      <c r="D255" t="s">
        <v>17</v>
      </c>
      <c r="E255" t="s">
        <v>12</v>
      </c>
      <c r="F255">
        <v>8</v>
      </c>
      <c r="G255" t="s">
        <v>13</v>
      </c>
      <c r="H255">
        <v>6</v>
      </c>
      <c r="I255">
        <v>3</v>
      </c>
      <c r="J255">
        <v>87</v>
      </c>
      <c r="K255">
        <f t="shared" si="6"/>
        <v>3</v>
      </c>
      <c r="L255" t="str">
        <f t="shared" si="7"/>
        <v>Low</v>
      </c>
    </row>
    <row r="256" spans="1:12" x14ac:dyDescent="0.3">
      <c r="A256">
        <v>255</v>
      </c>
      <c r="B256">
        <v>50</v>
      </c>
      <c r="C256" t="s">
        <v>16</v>
      </c>
      <c r="D256" t="s">
        <v>17</v>
      </c>
      <c r="E256" t="s">
        <v>12</v>
      </c>
      <c r="F256">
        <v>8</v>
      </c>
      <c r="G256" t="s">
        <v>19</v>
      </c>
      <c r="H256">
        <v>6</v>
      </c>
      <c r="I256">
        <v>3</v>
      </c>
      <c r="J256">
        <v>86</v>
      </c>
      <c r="K256">
        <f t="shared" si="6"/>
        <v>3</v>
      </c>
      <c r="L256" t="str">
        <f t="shared" si="7"/>
        <v>Low</v>
      </c>
    </row>
    <row r="257" spans="1:12" x14ac:dyDescent="0.3">
      <c r="A257">
        <v>256</v>
      </c>
      <c r="B257">
        <v>68</v>
      </c>
      <c r="C257" t="s">
        <v>10</v>
      </c>
      <c r="D257" t="s">
        <v>11</v>
      </c>
      <c r="E257" t="s">
        <v>18</v>
      </c>
      <c r="F257">
        <v>10</v>
      </c>
      <c r="G257" t="s">
        <v>19</v>
      </c>
      <c r="H257">
        <v>6</v>
      </c>
      <c r="I257">
        <v>5</v>
      </c>
      <c r="J257">
        <v>66</v>
      </c>
      <c r="K257">
        <f t="shared" si="6"/>
        <v>1</v>
      </c>
      <c r="L257" t="str">
        <f t="shared" si="7"/>
        <v>Medium</v>
      </c>
    </row>
    <row r="258" spans="1:12" x14ac:dyDescent="0.3">
      <c r="A258">
        <v>257</v>
      </c>
      <c r="B258">
        <v>59</v>
      </c>
      <c r="C258" t="s">
        <v>10</v>
      </c>
      <c r="D258" t="s">
        <v>14</v>
      </c>
      <c r="E258" t="s">
        <v>12</v>
      </c>
      <c r="F258">
        <v>17</v>
      </c>
      <c r="G258" t="s">
        <v>13</v>
      </c>
      <c r="H258">
        <v>9</v>
      </c>
      <c r="I258">
        <v>3</v>
      </c>
      <c r="J258">
        <v>34</v>
      </c>
      <c r="K258">
        <f t="shared" si="6"/>
        <v>6</v>
      </c>
      <c r="L258" t="str">
        <f t="shared" si="7"/>
        <v>High</v>
      </c>
    </row>
    <row r="259" spans="1:12" x14ac:dyDescent="0.3">
      <c r="A259">
        <v>258</v>
      </c>
      <c r="B259">
        <v>61</v>
      </c>
      <c r="C259" t="s">
        <v>10</v>
      </c>
      <c r="D259" t="s">
        <v>14</v>
      </c>
      <c r="E259" t="s">
        <v>18</v>
      </c>
      <c r="F259">
        <v>16</v>
      </c>
      <c r="G259" t="s">
        <v>13</v>
      </c>
      <c r="H259">
        <v>8</v>
      </c>
      <c r="I259">
        <v>2</v>
      </c>
      <c r="J259">
        <v>11</v>
      </c>
      <c r="K259">
        <f t="shared" ref="K259:K301" si="8">H:H-I:I</f>
        <v>6</v>
      </c>
      <c r="L259" t="str">
        <f t="shared" ref="L259:L301" si="9">IF(F:F&lt;=8, "Low", IF(F:F&gt;=17, "High", "Medium"))</f>
        <v>Medium</v>
      </c>
    </row>
    <row r="260" spans="1:12" x14ac:dyDescent="0.3">
      <c r="A260">
        <v>259</v>
      </c>
      <c r="B260">
        <v>41</v>
      </c>
      <c r="C260" t="s">
        <v>10</v>
      </c>
      <c r="D260" t="s">
        <v>17</v>
      </c>
      <c r="E260" t="s">
        <v>12</v>
      </c>
      <c r="F260">
        <v>13</v>
      </c>
      <c r="G260" t="s">
        <v>13</v>
      </c>
      <c r="H260">
        <v>5</v>
      </c>
      <c r="I260">
        <v>4</v>
      </c>
      <c r="J260">
        <v>73</v>
      </c>
      <c r="K260">
        <f t="shared" si="8"/>
        <v>1</v>
      </c>
      <c r="L260" t="str">
        <f t="shared" si="9"/>
        <v>Medium</v>
      </c>
    </row>
    <row r="261" spans="1:12" x14ac:dyDescent="0.3">
      <c r="A261">
        <v>260</v>
      </c>
      <c r="B261">
        <v>32</v>
      </c>
      <c r="C261" t="s">
        <v>16</v>
      </c>
      <c r="D261" t="s">
        <v>21</v>
      </c>
      <c r="E261" t="s">
        <v>15</v>
      </c>
      <c r="F261">
        <v>14</v>
      </c>
      <c r="G261" t="s">
        <v>13</v>
      </c>
      <c r="H261">
        <v>7</v>
      </c>
      <c r="I261">
        <v>3</v>
      </c>
      <c r="J261">
        <v>44</v>
      </c>
      <c r="K261">
        <f t="shared" si="8"/>
        <v>4</v>
      </c>
      <c r="L261" t="str">
        <f t="shared" si="9"/>
        <v>Medium</v>
      </c>
    </row>
    <row r="262" spans="1:12" x14ac:dyDescent="0.3">
      <c r="A262">
        <v>261</v>
      </c>
      <c r="B262">
        <v>76</v>
      </c>
      <c r="C262" t="s">
        <v>16</v>
      </c>
      <c r="D262" t="s">
        <v>17</v>
      </c>
      <c r="E262" t="s">
        <v>15</v>
      </c>
      <c r="F262">
        <v>15</v>
      </c>
      <c r="G262" t="s">
        <v>13</v>
      </c>
      <c r="H262">
        <v>9</v>
      </c>
      <c r="I262">
        <v>1</v>
      </c>
      <c r="J262">
        <v>16</v>
      </c>
      <c r="K262">
        <f t="shared" si="8"/>
        <v>8</v>
      </c>
      <c r="L262" t="str">
        <f t="shared" si="9"/>
        <v>Medium</v>
      </c>
    </row>
    <row r="263" spans="1:12" x14ac:dyDescent="0.3">
      <c r="A263">
        <v>262</v>
      </c>
      <c r="B263">
        <v>71</v>
      </c>
      <c r="C263" t="s">
        <v>10</v>
      </c>
      <c r="D263" t="s">
        <v>14</v>
      </c>
      <c r="E263" t="s">
        <v>20</v>
      </c>
      <c r="F263">
        <v>10</v>
      </c>
      <c r="G263" t="s">
        <v>13</v>
      </c>
      <c r="H263">
        <v>5</v>
      </c>
      <c r="I263">
        <v>5</v>
      </c>
      <c r="J263">
        <v>94</v>
      </c>
      <c r="K263">
        <f t="shared" si="8"/>
        <v>0</v>
      </c>
      <c r="L263" t="str">
        <f t="shared" si="9"/>
        <v>Medium</v>
      </c>
    </row>
    <row r="264" spans="1:12" x14ac:dyDescent="0.3">
      <c r="A264">
        <v>263</v>
      </c>
      <c r="B264">
        <v>49</v>
      </c>
      <c r="C264" t="s">
        <v>16</v>
      </c>
      <c r="D264" t="s">
        <v>11</v>
      </c>
      <c r="E264" t="s">
        <v>15</v>
      </c>
      <c r="F264">
        <v>20</v>
      </c>
      <c r="G264" t="s">
        <v>13</v>
      </c>
      <c r="H264">
        <v>9</v>
      </c>
      <c r="I264">
        <v>1</v>
      </c>
      <c r="J264">
        <v>27</v>
      </c>
      <c r="K264">
        <f t="shared" si="8"/>
        <v>8</v>
      </c>
      <c r="L264" t="str">
        <f t="shared" si="9"/>
        <v>High</v>
      </c>
    </row>
    <row r="265" spans="1:12" x14ac:dyDescent="0.3">
      <c r="A265">
        <v>264</v>
      </c>
      <c r="B265">
        <v>49</v>
      </c>
      <c r="C265" t="s">
        <v>16</v>
      </c>
      <c r="D265" t="s">
        <v>17</v>
      </c>
      <c r="E265" t="s">
        <v>15</v>
      </c>
      <c r="F265">
        <v>3</v>
      </c>
      <c r="G265" t="s">
        <v>22</v>
      </c>
      <c r="H265">
        <v>9</v>
      </c>
      <c r="I265">
        <v>0</v>
      </c>
      <c r="J265">
        <v>76</v>
      </c>
      <c r="K265">
        <f t="shared" si="8"/>
        <v>9</v>
      </c>
      <c r="L265" t="str">
        <f t="shared" si="9"/>
        <v>Low</v>
      </c>
    </row>
    <row r="266" spans="1:12" x14ac:dyDescent="0.3">
      <c r="A266">
        <v>265</v>
      </c>
      <c r="B266">
        <v>41</v>
      </c>
      <c r="C266" t="s">
        <v>10</v>
      </c>
      <c r="D266" t="s">
        <v>14</v>
      </c>
      <c r="E266" t="s">
        <v>15</v>
      </c>
      <c r="F266">
        <v>17</v>
      </c>
      <c r="G266" t="s">
        <v>19</v>
      </c>
      <c r="H266">
        <v>7</v>
      </c>
      <c r="I266">
        <v>4</v>
      </c>
      <c r="J266">
        <v>51</v>
      </c>
      <c r="K266">
        <f t="shared" si="8"/>
        <v>3</v>
      </c>
      <c r="L266" t="str">
        <f t="shared" si="9"/>
        <v>High</v>
      </c>
    </row>
    <row r="267" spans="1:12" x14ac:dyDescent="0.3">
      <c r="A267">
        <v>266</v>
      </c>
      <c r="B267">
        <v>58</v>
      </c>
      <c r="C267" t="s">
        <v>16</v>
      </c>
      <c r="D267" t="s">
        <v>17</v>
      </c>
      <c r="E267" t="s">
        <v>18</v>
      </c>
      <c r="F267">
        <v>10</v>
      </c>
      <c r="G267" t="s">
        <v>13</v>
      </c>
      <c r="H267">
        <v>8</v>
      </c>
      <c r="I267">
        <v>3</v>
      </c>
      <c r="J267">
        <v>48</v>
      </c>
      <c r="K267">
        <f t="shared" si="8"/>
        <v>5</v>
      </c>
      <c r="L267" t="str">
        <f t="shared" si="9"/>
        <v>Medium</v>
      </c>
    </row>
    <row r="268" spans="1:12" x14ac:dyDescent="0.3">
      <c r="A268">
        <v>267</v>
      </c>
      <c r="B268">
        <v>69</v>
      </c>
      <c r="C268" t="s">
        <v>10</v>
      </c>
      <c r="D268" t="s">
        <v>21</v>
      </c>
      <c r="E268" t="s">
        <v>15</v>
      </c>
      <c r="F268">
        <v>13</v>
      </c>
      <c r="G268" t="s">
        <v>22</v>
      </c>
      <c r="H268">
        <v>6</v>
      </c>
      <c r="I268">
        <v>1</v>
      </c>
      <c r="J268">
        <v>50</v>
      </c>
      <c r="K268">
        <f t="shared" si="8"/>
        <v>5</v>
      </c>
      <c r="L268" t="str">
        <f t="shared" si="9"/>
        <v>Medium</v>
      </c>
    </row>
    <row r="269" spans="1:12" x14ac:dyDescent="0.3">
      <c r="A269">
        <v>268</v>
      </c>
      <c r="B269">
        <v>66</v>
      </c>
      <c r="C269" t="s">
        <v>16</v>
      </c>
      <c r="D269" t="s">
        <v>17</v>
      </c>
      <c r="E269" t="s">
        <v>15</v>
      </c>
      <c r="F269">
        <v>14</v>
      </c>
      <c r="G269" t="s">
        <v>22</v>
      </c>
      <c r="H269">
        <v>8</v>
      </c>
      <c r="I269">
        <v>4</v>
      </c>
      <c r="J269">
        <v>84</v>
      </c>
      <c r="K269">
        <f t="shared" si="8"/>
        <v>4</v>
      </c>
      <c r="L269" t="str">
        <f t="shared" si="9"/>
        <v>Medium</v>
      </c>
    </row>
    <row r="270" spans="1:12" x14ac:dyDescent="0.3">
      <c r="A270">
        <v>269</v>
      </c>
      <c r="B270">
        <v>79</v>
      </c>
      <c r="C270" t="s">
        <v>10</v>
      </c>
      <c r="D270" t="s">
        <v>17</v>
      </c>
      <c r="E270" t="s">
        <v>20</v>
      </c>
      <c r="F270">
        <v>14</v>
      </c>
      <c r="G270" t="s">
        <v>22</v>
      </c>
      <c r="H270">
        <v>7</v>
      </c>
      <c r="I270">
        <v>0</v>
      </c>
      <c r="J270">
        <v>112</v>
      </c>
      <c r="K270">
        <f t="shared" si="8"/>
        <v>7</v>
      </c>
      <c r="L270" t="str">
        <f t="shared" si="9"/>
        <v>Medium</v>
      </c>
    </row>
    <row r="271" spans="1:12" x14ac:dyDescent="0.3">
      <c r="A271">
        <v>270</v>
      </c>
      <c r="B271">
        <v>66</v>
      </c>
      <c r="C271" t="s">
        <v>10</v>
      </c>
      <c r="D271" t="s">
        <v>14</v>
      </c>
      <c r="E271" t="s">
        <v>15</v>
      </c>
      <c r="F271">
        <v>6</v>
      </c>
      <c r="G271" t="s">
        <v>19</v>
      </c>
      <c r="H271">
        <v>7</v>
      </c>
      <c r="I271">
        <v>2</v>
      </c>
      <c r="J271">
        <v>33</v>
      </c>
      <c r="K271">
        <f t="shared" si="8"/>
        <v>5</v>
      </c>
      <c r="L271" t="str">
        <f t="shared" si="9"/>
        <v>Low</v>
      </c>
    </row>
    <row r="272" spans="1:12" x14ac:dyDescent="0.3">
      <c r="A272">
        <v>271</v>
      </c>
      <c r="B272">
        <v>75</v>
      </c>
      <c r="C272" t="s">
        <v>10</v>
      </c>
      <c r="D272" t="s">
        <v>14</v>
      </c>
      <c r="E272" t="s">
        <v>15</v>
      </c>
      <c r="F272">
        <v>18</v>
      </c>
      <c r="G272" t="s">
        <v>13</v>
      </c>
      <c r="H272">
        <v>7</v>
      </c>
      <c r="I272">
        <v>5</v>
      </c>
      <c r="J272">
        <v>69</v>
      </c>
      <c r="K272">
        <f t="shared" si="8"/>
        <v>2</v>
      </c>
      <c r="L272" t="str">
        <f t="shared" si="9"/>
        <v>High</v>
      </c>
    </row>
    <row r="273" spans="1:12" x14ac:dyDescent="0.3">
      <c r="A273">
        <v>272</v>
      </c>
      <c r="B273">
        <v>69</v>
      </c>
      <c r="C273" t="s">
        <v>10</v>
      </c>
      <c r="D273" t="s">
        <v>14</v>
      </c>
      <c r="E273" t="s">
        <v>12</v>
      </c>
      <c r="F273">
        <v>6</v>
      </c>
      <c r="G273" t="s">
        <v>22</v>
      </c>
      <c r="H273">
        <v>5</v>
      </c>
      <c r="I273">
        <v>4</v>
      </c>
      <c r="J273">
        <v>55</v>
      </c>
      <c r="K273">
        <f t="shared" si="8"/>
        <v>1</v>
      </c>
      <c r="L273" t="str">
        <f t="shared" si="9"/>
        <v>Low</v>
      </c>
    </row>
    <row r="274" spans="1:12" x14ac:dyDescent="0.3">
      <c r="A274">
        <v>273</v>
      </c>
      <c r="B274">
        <v>29</v>
      </c>
      <c r="C274" t="s">
        <v>16</v>
      </c>
      <c r="D274" t="s">
        <v>17</v>
      </c>
      <c r="E274" t="s">
        <v>20</v>
      </c>
      <c r="F274">
        <v>7</v>
      </c>
      <c r="G274" t="s">
        <v>19</v>
      </c>
      <c r="H274">
        <v>8</v>
      </c>
      <c r="I274">
        <v>4</v>
      </c>
      <c r="J274">
        <v>28</v>
      </c>
      <c r="K274">
        <f t="shared" si="8"/>
        <v>4</v>
      </c>
      <c r="L274" t="str">
        <f t="shared" si="9"/>
        <v>Low</v>
      </c>
    </row>
    <row r="275" spans="1:12" x14ac:dyDescent="0.3">
      <c r="A275">
        <v>274</v>
      </c>
      <c r="B275">
        <v>79</v>
      </c>
      <c r="C275" t="s">
        <v>10</v>
      </c>
      <c r="D275" t="s">
        <v>21</v>
      </c>
      <c r="E275" t="s">
        <v>20</v>
      </c>
      <c r="F275">
        <v>7</v>
      </c>
      <c r="G275" t="s">
        <v>19</v>
      </c>
      <c r="H275">
        <v>8</v>
      </c>
      <c r="I275">
        <v>2</v>
      </c>
      <c r="J275">
        <v>77</v>
      </c>
      <c r="K275">
        <f t="shared" si="8"/>
        <v>6</v>
      </c>
      <c r="L275" t="str">
        <f t="shared" si="9"/>
        <v>Low</v>
      </c>
    </row>
    <row r="276" spans="1:12" x14ac:dyDescent="0.3">
      <c r="A276">
        <v>275</v>
      </c>
      <c r="B276">
        <v>56</v>
      </c>
      <c r="C276" t="s">
        <v>10</v>
      </c>
      <c r="D276" t="s">
        <v>11</v>
      </c>
      <c r="E276" t="s">
        <v>20</v>
      </c>
      <c r="F276">
        <v>10</v>
      </c>
      <c r="G276" t="s">
        <v>19</v>
      </c>
      <c r="H276">
        <v>9</v>
      </c>
      <c r="I276">
        <v>4</v>
      </c>
      <c r="J276">
        <v>99</v>
      </c>
      <c r="K276">
        <f t="shared" si="8"/>
        <v>5</v>
      </c>
      <c r="L276" t="str">
        <f t="shared" si="9"/>
        <v>Medium</v>
      </c>
    </row>
    <row r="277" spans="1:12" x14ac:dyDescent="0.3">
      <c r="A277">
        <v>276</v>
      </c>
      <c r="B277">
        <v>19</v>
      </c>
      <c r="C277" t="s">
        <v>10</v>
      </c>
      <c r="D277" t="s">
        <v>11</v>
      </c>
      <c r="E277" t="s">
        <v>20</v>
      </c>
      <c r="F277">
        <v>12</v>
      </c>
      <c r="G277" t="s">
        <v>22</v>
      </c>
      <c r="H277">
        <v>9</v>
      </c>
      <c r="I277">
        <v>0</v>
      </c>
      <c r="J277">
        <v>111</v>
      </c>
      <c r="K277">
        <f t="shared" si="8"/>
        <v>9</v>
      </c>
      <c r="L277" t="str">
        <f t="shared" si="9"/>
        <v>Medium</v>
      </c>
    </row>
    <row r="278" spans="1:12" x14ac:dyDescent="0.3">
      <c r="A278">
        <v>277</v>
      </c>
      <c r="B278">
        <v>20</v>
      </c>
      <c r="C278" t="s">
        <v>16</v>
      </c>
      <c r="D278" t="s">
        <v>14</v>
      </c>
      <c r="E278" t="s">
        <v>20</v>
      </c>
      <c r="F278">
        <v>19</v>
      </c>
      <c r="G278" t="s">
        <v>13</v>
      </c>
      <c r="H278">
        <v>9</v>
      </c>
      <c r="I278">
        <v>0</v>
      </c>
      <c r="J278">
        <v>51</v>
      </c>
      <c r="K278">
        <f t="shared" si="8"/>
        <v>9</v>
      </c>
      <c r="L278" t="str">
        <f t="shared" si="9"/>
        <v>High</v>
      </c>
    </row>
    <row r="279" spans="1:12" x14ac:dyDescent="0.3">
      <c r="A279">
        <v>278</v>
      </c>
      <c r="B279">
        <v>66</v>
      </c>
      <c r="C279" t="s">
        <v>10</v>
      </c>
      <c r="D279" t="s">
        <v>14</v>
      </c>
      <c r="E279" t="s">
        <v>20</v>
      </c>
      <c r="F279">
        <v>11</v>
      </c>
      <c r="G279" t="s">
        <v>22</v>
      </c>
      <c r="H279">
        <v>7</v>
      </c>
      <c r="I279">
        <v>2</v>
      </c>
      <c r="J279">
        <v>41</v>
      </c>
      <c r="K279">
        <f t="shared" si="8"/>
        <v>5</v>
      </c>
      <c r="L279" t="str">
        <f t="shared" si="9"/>
        <v>Medium</v>
      </c>
    </row>
    <row r="280" spans="1:12" x14ac:dyDescent="0.3">
      <c r="A280">
        <v>279</v>
      </c>
      <c r="B280">
        <v>54</v>
      </c>
      <c r="C280" t="s">
        <v>16</v>
      </c>
      <c r="D280" t="s">
        <v>17</v>
      </c>
      <c r="E280" t="s">
        <v>18</v>
      </c>
      <c r="F280">
        <v>24</v>
      </c>
      <c r="G280" t="s">
        <v>22</v>
      </c>
      <c r="H280">
        <v>8</v>
      </c>
      <c r="I280">
        <v>5</v>
      </c>
      <c r="J280">
        <v>48</v>
      </c>
      <c r="K280">
        <f t="shared" si="8"/>
        <v>3</v>
      </c>
      <c r="L280" t="str">
        <f t="shared" si="9"/>
        <v>High</v>
      </c>
    </row>
    <row r="281" spans="1:12" x14ac:dyDescent="0.3">
      <c r="A281">
        <v>280</v>
      </c>
      <c r="B281">
        <v>66</v>
      </c>
      <c r="C281" t="s">
        <v>10</v>
      </c>
      <c r="D281" t="s">
        <v>11</v>
      </c>
      <c r="E281" t="s">
        <v>15</v>
      </c>
      <c r="F281">
        <v>21</v>
      </c>
      <c r="G281" t="s">
        <v>13</v>
      </c>
      <c r="H281">
        <v>7</v>
      </c>
      <c r="I281">
        <v>3</v>
      </c>
      <c r="J281">
        <v>118</v>
      </c>
      <c r="K281">
        <f t="shared" si="8"/>
        <v>4</v>
      </c>
      <c r="L281" t="str">
        <f t="shared" si="9"/>
        <v>High</v>
      </c>
    </row>
    <row r="282" spans="1:12" x14ac:dyDescent="0.3">
      <c r="A282">
        <v>281</v>
      </c>
      <c r="B282">
        <v>73</v>
      </c>
      <c r="C282" t="s">
        <v>16</v>
      </c>
      <c r="D282" t="s">
        <v>14</v>
      </c>
      <c r="E282" t="s">
        <v>20</v>
      </c>
      <c r="F282">
        <v>16</v>
      </c>
      <c r="G282" t="s">
        <v>13</v>
      </c>
      <c r="H282">
        <v>5</v>
      </c>
      <c r="I282">
        <v>1</v>
      </c>
      <c r="J282">
        <v>119</v>
      </c>
      <c r="K282">
        <f t="shared" si="8"/>
        <v>4</v>
      </c>
      <c r="L282" t="str">
        <f t="shared" si="9"/>
        <v>Medium</v>
      </c>
    </row>
    <row r="283" spans="1:12" x14ac:dyDescent="0.3">
      <c r="A283">
        <v>282</v>
      </c>
      <c r="B283">
        <v>34</v>
      </c>
      <c r="C283" t="s">
        <v>16</v>
      </c>
      <c r="D283" t="s">
        <v>21</v>
      </c>
      <c r="E283" t="s">
        <v>15</v>
      </c>
      <c r="F283">
        <v>10</v>
      </c>
      <c r="G283" t="s">
        <v>13</v>
      </c>
      <c r="H283">
        <v>9</v>
      </c>
      <c r="I283">
        <v>3</v>
      </c>
      <c r="J283">
        <v>45</v>
      </c>
      <c r="K283">
        <f t="shared" si="8"/>
        <v>6</v>
      </c>
      <c r="L283" t="str">
        <f t="shared" si="9"/>
        <v>Medium</v>
      </c>
    </row>
    <row r="284" spans="1:12" x14ac:dyDescent="0.3">
      <c r="A284">
        <v>283</v>
      </c>
      <c r="B284">
        <v>76</v>
      </c>
      <c r="C284" t="s">
        <v>10</v>
      </c>
      <c r="D284" t="s">
        <v>21</v>
      </c>
      <c r="E284" t="s">
        <v>15</v>
      </c>
      <c r="F284">
        <v>11</v>
      </c>
      <c r="G284" t="s">
        <v>19</v>
      </c>
      <c r="H284">
        <v>7</v>
      </c>
      <c r="I284">
        <v>4</v>
      </c>
      <c r="J284">
        <v>113</v>
      </c>
      <c r="K284">
        <f t="shared" si="8"/>
        <v>3</v>
      </c>
      <c r="L284" t="str">
        <f t="shared" si="9"/>
        <v>Medium</v>
      </c>
    </row>
    <row r="285" spans="1:12" x14ac:dyDescent="0.3">
      <c r="A285">
        <v>284</v>
      </c>
      <c r="B285">
        <v>66</v>
      </c>
      <c r="C285" t="s">
        <v>16</v>
      </c>
      <c r="D285" t="s">
        <v>14</v>
      </c>
      <c r="E285" t="s">
        <v>18</v>
      </c>
      <c r="F285">
        <v>24</v>
      </c>
      <c r="G285" t="s">
        <v>13</v>
      </c>
      <c r="H285">
        <v>7</v>
      </c>
      <c r="I285">
        <v>1</v>
      </c>
      <c r="J285">
        <v>110</v>
      </c>
      <c r="K285">
        <f t="shared" si="8"/>
        <v>6</v>
      </c>
      <c r="L285" t="str">
        <f t="shared" si="9"/>
        <v>High</v>
      </c>
    </row>
    <row r="286" spans="1:12" x14ac:dyDescent="0.3">
      <c r="A286">
        <v>285</v>
      </c>
      <c r="B286">
        <v>19</v>
      </c>
      <c r="C286" t="s">
        <v>10</v>
      </c>
      <c r="D286" t="s">
        <v>14</v>
      </c>
      <c r="E286" t="s">
        <v>20</v>
      </c>
      <c r="F286">
        <v>13</v>
      </c>
      <c r="G286" t="s">
        <v>22</v>
      </c>
      <c r="H286">
        <v>5</v>
      </c>
      <c r="I286">
        <v>2</v>
      </c>
      <c r="J286">
        <v>106</v>
      </c>
      <c r="K286">
        <f t="shared" si="8"/>
        <v>3</v>
      </c>
      <c r="L286" t="str">
        <f t="shared" si="9"/>
        <v>Medium</v>
      </c>
    </row>
    <row r="287" spans="1:12" x14ac:dyDescent="0.3">
      <c r="A287">
        <v>286</v>
      </c>
      <c r="B287">
        <v>19</v>
      </c>
      <c r="C287" t="s">
        <v>10</v>
      </c>
      <c r="D287" t="s">
        <v>11</v>
      </c>
      <c r="E287" t="s">
        <v>12</v>
      </c>
      <c r="F287">
        <v>3</v>
      </c>
      <c r="G287" t="s">
        <v>13</v>
      </c>
      <c r="H287">
        <v>6</v>
      </c>
      <c r="I287">
        <v>2</v>
      </c>
      <c r="J287">
        <v>45</v>
      </c>
      <c r="K287">
        <f t="shared" si="8"/>
        <v>4</v>
      </c>
      <c r="L287" t="str">
        <f t="shared" si="9"/>
        <v>Low</v>
      </c>
    </row>
    <row r="288" spans="1:12" x14ac:dyDescent="0.3">
      <c r="A288">
        <v>287</v>
      </c>
      <c r="B288">
        <v>45</v>
      </c>
      <c r="C288" t="s">
        <v>10</v>
      </c>
      <c r="D288" t="s">
        <v>11</v>
      </c>
      <c r="E288" t="s">
        <v>18</v>
      </c>
      <c r="F288">
        <v>16</v>
      </c>
      <c r="G288" t="s">
        <v>22</v>
      </c>
      <c r="H288">
        <v>8</v>
      </c>
      <c r="I288">
        <v>5</v>
      </c>
      <c r="J288">
        <v>12</v>
      </c>
      <c r="K288">
        <f t="shared" si="8"/>
        <v>3</v>
      </c>
      <c r="L288" t="str">
        <f t="shared" si="9"/>
        <v>Medium</v>
      </c>
    </row>
    <row r="289" spans="1:12" x14ac:dyDescent="0.3">
      <c r="A289">
        <v>288</v>
      </c>
      <c r="B289">
        <v>71</v>
      </c>
      <c r="C289" t="s">
        <v>16</v>
      </c>
      <c r="D289" t="s">
        <v>17</v>
      </c>
      <c r="E289" t="s">
        <v>12</v>
      </c>
      <c r="F289">
        <v>7</v>
      </c>
      <c r="G289" t="s">
        <v>19</v>
      </c>
      <c r="H289">
        <v>6</v>
      </c>
      <c r="I289">
        <v>1</v>
      </c>
      <c r="J289">
        <v>82</v>
      </c>
      <c r="K289">
        <f t="shared" si="8"/>
        <v>5</v>
      </c>
      <c r="L289" t="str">
        <f t="shared" si="9"/>
        <v>Low</v>
      </c>
    </row>
    <row r="290" spans="1:12" x14ac:dyDescent="0.3">
      <c r="A290">
        <v>289</v>
      </c>
      <c r="B290">
        <v>40</v>
      </c>
      <c r="C290" t="s">
        <v>16</v>
      </c>
      <c r="D290" t="s">
        <v>11</v>
      </c>
      <c r="E290" t="s">
        <v>15</v>
      </c>
      <c r="F290">
        <v>23</v>
      </c>
      <c r="G290" t="s">
        <v>22</v>
      </c>
      <c r="H290">
        <v>9</v>
      </c>
      <c r="I290">
        <v>0</v>
      </c>
      <c r="J290">
        <v>17</v>
      </c>
      <c r="K290">
        <f t="shared" si="8"/>
        <v>9</v>
      </c>
      <c r="L290" t="str">
        <f t="shared" si="9"/>
        <v>High</v>
      </c>
    </row>
    <row r="291" spans="1:12" x14ac:dyDescent="0.3">
      <c r="A291">
        <v>290</v>
      </c>
      <c r="B291">
        <v>54</v>
      </c>
      <c r="C291" t="s">
        <v>10</v>
      </c>
      <c r="D291" t="s">
        <v>21</v>
      </c>
      <c r="E291" t="s">
        <v>15</v>
      </c>
      <c r="F291">
        <v>16</v>
      </c>
      <c r="G291" t="s">
        <v>22</v>
      </c>
      <c r="H291">
        <v>7</v>
      </c>
      <c r="I291">
        <v>1</v>
      </c>
      <c r="J291">
        <v>106</v>
      </c>
      <c r="K291">
        <f t="shared" si="8"/>
        <v>6</v>
      </c>
      <c r="L291" t="str">
        <f t="shared" si="9"/>
        <v>Medium</v>
      </c>
    </row>
    <row r="292" spans="1:12" x14ac:dyDescent="0.3">
      <c r="A292">
        <v>291</v>
      </c>
      <c r="B292">
        <v>49</v>
      </c>
      <c r="C292" t="s">
        <v>10</v>
      </c>
      <c r="D292" t="s">
        <v>21</v>
      </c>
      <c r="E292" t="s">
        <v>18</v>
      </c>
      <c r="F292">
        <v>6</v>
      </c>
      <c r="G292" t="s">
        <v>13</v>
      </c>
      <c r="H292">
        <v>5</v>
      </c>
      <c r="I292">
        <v>4</v>
      </c>
      <c r="J292">
        <v>79</v>
      </c>
      <c r="K292">
        <f t="shared" si="8"/>
        <v>1</v>
      </c>
      <c r="L292" t="str">
        <f t="shared" si="9"/>
        <v>Low</v>
      </c>
    </row>
    <row r="293" spans="1:12" x14ac:dyDescent="0.3">
      <c r="A293">
        <v>292</v>
      </c>
      <c r="B293">
        <v>50</v>
      </c>
      <c r="C293" t="s">
        <v>16</v>
      </c>
      <c r="D293" t="s">
        <v>14</v>
      </c>
      <c r="E293" t="s">
        <v>18</v>
      </c>
      <c r="F293">
        <v>24</v>
      </c>
      <c r="G293" t="s">
        <v>13</v>
      </c>
      <c r="H293">
        <v>5</v>
      </c>
      <c r="I293">
        <v>0</v>
      </c>
      <c r="J293">
        <v>50</v>
      </c>
      <c r="K293">
        <f t="shared" si="8"/>
        <v>5</v>
      </c>
      <c r="L293" t="str">
        <f t="shared" si="9"/>
        <v>High</v>
      </c>
    </row>
    <row r="294" spans="1:12" x14ac:dyDescent="0.3">
      <c r="A294">
        <v>293</v>
      </c>
      <c r="B294">
        <v>18</v>
      </c>
      <c r="C294" t="s">
        <v>10</v>
      </c>
      <c r="D294" t="s">
        <v>11</v>
      </c>
      <c r="E294" t="s">
        <v>12</v>
      </c>
      <c r="F294">
        <v>3</v>
      </c>
      <c r="G294" t="s">
        <v>22</v>
      </c>
      <c r="H294">
        <v>8</v>
      </c>
      <c r="I294">
        <v>2</v>
      </c>
      <c r="J294">
        <v>112</v>
      </c>
      <c r="K294">
        <f t="shared" si="8"/>
        <v>6</v>
      </c>
      <c r="L294" t="str">
        <f t="shared" si="9"/>
        <v>Low</v>
      </c>
    </row>
    <row r="295" spans="1:12" x14ac:dyDescent="0.3">
      <c r="A295">
        <v>294</v>
      </c>
      <c r="B295">
        <v>36</v>
      </c>
      <c r="C295" t="s">
        <v>10</v>
      </c>
      <c r="D295" t="s">
        <v>17</v>
      </c>
      <c r="E295" t="s">
        <v>20</v>
      </c>
      <c r="F295">
        <v>24</v>
      </c>
      <c r="G295" t="s">
        <v>13</v>
      </c>
      <c r="H295">
        <v>6</v>
      </c>
      <c r="I295">
        <v>1</v>
      </c>
      <c r="J295">
        <v>77</v>
      </c>
      <c r="K295">
        <f t="shared" si="8"/>
        <v>5</v>
      </c>
      <c r="L295" t="str">
        <f t="shared" si="9"/>
        <v>High</v>
      </c>
    </row>
    <row r="296" spans="1:12" x14ac:dyDescent="0.3">
      <c r="A296">
        <v>295</v>
      </c>
      <c r="B296">
        <v>79</v>
      </c>
      <c r="C296" t="s">
        <v>10</v>
      </c>
      <c r="D296" t="s">
        <v>21</v>
      </c>
      <c r="E296" t="s">
        <v>12</v>
      </c>
      <c r="F296">
        <v>21</v>
      </c>
      <c r="G296" t="s">
        <v>19</v>
      </c>
      <c r="H296">
        <v>8</v>
      </c>
      <c r="I296">
        <v>3</v>
      </c>
      <c r="J296">
        <v>22</v>
      </c>
      <c r="K296">
        <f t="shared" si="8"/>
        <v>5</v>
      </c>
      <c r="L296" t="str">
        <f t="shared" si="9"/>
        <v>High</v>
      </c>
    </row>
    <row r="297" spans="1:12" x14ac:dyDescent="0.3">
      <c r="A297">
        <v>296</v>
      </c>
      <c r="B297">
        <v>19</v>
      </c>
      <c r="C297" t="s">
        <v>16</v>
      </c>
      <c r="D297" t="s">
        <v>21</v>
      </c>
      <c r="E297" t="s">
        <v>18</v>
      </c>
      <c r="F297">
        <v>10</v>
      </c>
      <c r="G297" t="s">
        <v>19</v>
      </c>
      <c r="H297">
        <v>7</v>
      </c>
      <c r="I297">
        <v>5</v>
      </c>
      <c r="J297">
        <v>58</v>
      </c>
      <c r="K297">
        <f t="shared" si="8"/>
        <v>2</v>
      </c>
      <c r="L297" t="str">
        <f t="shared" si="9"/>
        <v>Medium</v>
      </c>
    </row>
    <row r="298" spans="1:12" x14ac:dyDescent="0.3">
      <c r="A298">
        <v>297</v>
      </c>
      <c r="B298">
        <v>70</v>
      </c>
      <c r="C298" t="s">
        <v>16</v>
      </c>
      <c r="D298" t="s">
        <v>17</v>
      </c>
      <c r="E298" t="s">
        <v>12</v>
      </c>
      <c r="F298">
        <v>17</v>
      </c>
      <c r="G298" t="s">
        <v>13</v>
      </c>
      <c r="H298">
        <v>8</v>
      </c>
      <c r="I298">
        <v>3</v>
      </c>
      <c r="J298">
        <v>69</v>
      </c>
      <c r="K298">
        <f t="shared" si="8"/>
        <v>5</v>
      </c>
      <c r="L298" t="str">
        <f t="shared" si="9"/>
        <v>High</v>
      </c>
    </row>
    <row r="299" spans="1:12" x14ac:dyDescent="0.3">
      <c r="A299">
        <v>298</v>
      </c>
      <c r="B299">
        <v>61</v>
      </c>
      <c r="C299" t="s">
        <v>16</v>
      </c>
      <c r="D299" t="s">
        <v>17</v>
      </c>
      <c r="E299" t="s">
        <v>18</v>
      </c>
      <c r="F299">
        <v>23</v>
      </c>
      <c r="G299" t="s">
        <v>19</v>
      </c>
      <c r="H299">
        <v>5</v>
      </c>
      <c r="I299">
        <v>5</v>
      </c>
      <c r="J299">
        <v>11</v>
      </c>
      <c r="K299">
        <f t="shared" si="8"/>
        <v>0</v>
      </c>
      <c r="L299" t="str">
        <f t="shared" si="9"/>
        <v>High</v>
      </c>
    </row>
    <row r="300" spans="1:12" x14ac:dyDescent="0.3">
      <c r="A300">
        <v>299</v>
      </c>
      <c r="B300">
        <v>43</v>
      </c>
      <c r="C300" t="s">
        <v>10</v>
      </c>
      <c r="D300" t="s">
        <v>21</v>
      </c>
      <c r="E300" t="s">
        <v>12</v>
      </c>
      <c r="F300">
        <v>17</v>
      </c>
      <c r="G300" t="s">
        <v>13</v>
      </c>
      <c r="H300">
        <v>5</v>
      </c>
      <c r="I300">
        <v>4</v>
      </c>
      <c r="J300">
        <v>69</v>
      </c>
      <c r="K300">
        <f t="shared" si="8"/>
        <v>1</v>
      </c>
      <c r="L300" t="str">
        <f t="shared" si="9"/>
        <v>High</v>
      </c>
    </row>
    <row r="301" spans="1:12" x14ac:dyDescent="0.3">
      <c r="A301">
        <v>300</v>
      </c>
      <c r="B301">
        <v>49</v>
      </c>
      <c r="C301" t="s">
        <v>10</v>
      </c>
      <c r="D301" t="s">
        <v>21</v>
      </c>
      <c r="E301" t="s">
        <v>18</v>
      </c>
      <c r="F301">
        <v>11</v>
      </c>
      <c r="G301" t="s">
        <v>22</v>
      </c>
      <c r="H301">
        <v>9</v>
      </c>
      <c r="I301">
        <v>3</v>
      </c>
      <c r="J301">
        <v>14</v>
      </c>
      <c r="K301">
        <f t="shared" si="8"/>
        <v>6</v>
      </c>
      <c r="L301" t="str">
        <f t="shared" si="9"/>
        <v>Medium</v>
      </c>
    </row>
  </sheetData>
  <conditionalFormatting sqref="L1:L1048576">
    <cfRule type="containsText" dxfId="6" priority="4" operator="containsText" text="Low">
      <formula>NOT(ISERROR(SEARCH("Low",L1)))</formula>
    </cfRule>
    <cfRule type="containsText" dxfId="7" priority="3" operator="containsText" text="Medium">
      <formula>NOT(ISERROR(SEARCH("Medium",L1)))</formula>
    </cfRule>
    <cfRule type="containsText" dxfId="8" priority="2" operator="containsText" text="High">
      <formula>NOT(ISERROR(SEARCH("High",L1)))</formula>
    </cfRule>
    <cfRule type="containsText" dxfId="9" priority="1" operator="containsText" text="High">
      <formula>NOT(ISERROR(SEARCH("High",L1)))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2"/>
  <sheetViews>
    <sheetView topLeftCell="A16" workbookViewId="0">
      <selection activeCell="C33" sqref="C33"/>
    </sheetView>
  </sheetViews>
  <sheetFormatPr defaultRowHeight="14.4" x14ac:dyDescent="0.3"/>
  <cols>
    <col min="1" max="1" width="16.6640625" customWidth="1"/>
    <col min="2" max="2" width="28.88671875" customWidth="1"/>
    <col min="3" max="3" width="31.33203125" bestFit="1" customWidth="1"/>
  </cols>
  <sheetData>
    <row r="3" spans="1:2" x14ac:dyDescent="0.3">
      <c r="A3" s="1" t="s">
        <v>26</v>
      </c>
      <c r="B3" t="s">
        <v>25</v>
      </c>
    </row>
    <row r="4" spans="1:2" x14ac:dyDescent="0.3">
      <c r="A4" s="2" t="s">
        <v>22</v>
      </c>
      <c r="B4" s="3">
        <v>64.505050505050505</v>
      </c>
    </row>
    <row r="5" spans="1:2" x14ac:dyDescent="0.3">
      <c r="A5" s="2" t="s">
        <v>13</v>
      </c>
      <c r="B5" s="3">
        <v>62.145631067961162</v>
      </c>
    </row>
    <row r="6" spans="1:2" x14ac:dyDescent="0.3">
      <c r="A6" s="2" t="s">
        <v>19</v>
      </c>
      <c r="B6" s="3">
        <v>64.755102040816325</v>
      </c>
    </row>
    <row r="11" spans="1:2" x14ac:dyDescent="0.3">
      <c r="A11" s="1" t="s">
        <v>3</v>
      </c>
      <c r="B11" t="s">
        <v>25</v>
      </c>
    </row>
    <row r="12" spans="1:2" x14ac:dyDescent="0.3">
      <c r="A12" s="2" t="s">
        <v>11</v>
      </c>
      <c r="B12" s="3">
        <v>65.780821917808225</v>
      </c>
    </row>
    <row r="13" spans="1:2" x14ac:dyDescent="0.3">
      <c r="A13" s="2" t="s">
        <v>17</v>
      </c>
      <c r="B13" s="3">
        <v>64.436619718309856</v>
      </c>
    </row>
    <row r="14" spans="1:2" x14ac:dyDescent="0.3">
      <c r="A14" s="2" t="s">
        <v>14</v>
      </c>
      <c r="B14" s="3">
        <v>59.674157303370784</v>
      </c>
    </row>
    <row r="15" spans="1:2" x14ac:dyDescent="0.3">
      <c r="A15" s="2" t="s">
        <v>21</v>
      </c>
      <c r="B15" s="3">
        <v>66.343283582089555</v>
      </c>
    </row>
    <row r="20" spans="1:3" x14ac:dyDescent="0.3">
      <c r="A20" s="1" t="s">
        <v>24</v>
      </c>
      <c r="B20" t="s">
        <v>25</v>
      </c>
    </row>
    <row r="21" spans="1:3" x14ac:dyDescent="0.3">
      <c r="A21" s="2" t="s">
        <v>22</v>
      </c>
      <c r="B21" s="3">
        <v>63.531914893617021</v>
      </c>
    </row>
    <row r="22" spans="1:3" x14ac:dyDescent="0.3">
      <c r="A22" s="2" t="s">
        <v>13</v>
      </c>
      <c r="B22" s="3">
        <v>66.546391752577321</v>
      </c>
    </row>
    <row r="23" spans="1:3" x14ac:dyDescent="0.3">
      <c r="A23" s="2" t="s">
        <v>19</v>
      </c>
      <c r="B23" s="3">
        <v>61.522935779816514</v>
      </c>
    </row>
    <row r="28" spans="1:3" x14ac:dyDescent="0.3">
      <c r="A28" s="1" t="s">
        <v>28</v>
      </c>
      <c r="B28" t="s">
        <v>25</v>
      </c>
      <c r="C28" t="s">
        <v>27</v>
      </c>
    </row>
    <row r="29" spans="1:3" x14ac:dyDescent="0.3">
      <c r="A29" s="2" t="s">
        <v>20</v>
      </c>
      <c r="B29" s="3">
        <v>71.044117647058826</v>
      </c>
      <c r="C29" s="3">
        <v>4.8235294117647056</v>
      </c>
    </row>
    <row r="30" spans="1:3" x14ac:dyDescent="0.3">
      <c r="A30" s="2" t="s">
        <v>15</v>
      </c>
      <c r="B30" s="3">
        <v>63.058823529411768</v>
      </c>
      <c r="C30" s="3">
        <v>4.6029411764705879</v>
      </c>
    </row>
    <row r="31" spans="1:3" x14ac:dyDescent="0.3">
      <c r="A31" s="2" t="s">
        <v>18</v>
      </c>
      <c r="B31" s="3">
        <v>59.325842696629216</v>
      </c>
      <c r="C31" s="3">
        <v>4.5393258426966296</v>
      </c>
    </row>
    <row r="32" spans="1:3" x14ac:dyDescent="0.3">
      <c r="A32" s="2" t="s">
        <v>12</v>
      </c>
      <c r="B32" s="3">
        <v>63.12</v>
      </c>
      <c r="C32" s="3">
        <v>3.9066666666666667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"/>
  <sheetViews>
    <sheetView topLeftCell="A27" workbookViewId="0">
      <selection activeCell="S39" sqref="S39"/>
    </sheetView>
  </sheetViews>
  <sheetFormatPr defaultRowHeight="14.4" x14ac:dyDescent="0.3"/>
  <sheetData>
    <row r="18" spans="2:2" x14ac:dyDescent="0.3">
      <c r="B18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physio_patient_data</vt:lpstr>
      <vt:lpstr>Pivot Tables</vt:lpstr>
      <vt:lpstr>Viz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2026-03-28T17:05:36Z</dcterms:created>
  <dcterms:modified xsi:type="dcterms:W3CDTF">2026-03-28T17:07:03Z</dcterms:modified>
</cp:coreProperties>
</file>